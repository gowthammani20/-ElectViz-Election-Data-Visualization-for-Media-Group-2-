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b28956c42bc4de/Desktop/"/>
    </mc:Choice>
  </mc:AlternateContent>
  <xr:revisionPtr revIDLastSave="1" documentId="13_ncr:1_{3B4F5803-9B89-4A86-8EFA-5DF7906F5BA2}" xr6:coauthVersionLast="47" xr6:coauthVersionMax="47" xr10:uidLastSave="{EDA52EE6-6BCA-42F8-BCF5-AE506BE96057}"/>
  <bookViews>
    <workbookView xWindow="-108" yWindow="-108" windowWidth="23256" windowHeight="12456" xr2:uid="{27BD66FD-436D-4720-851F-8F725FFD774E}"/>
  </bookViews>
  <sheets>
    <sheet name="State" sheetId="1" r:id="rId1"/>
    <sheet name="Natio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4" i="2" l="1"/>
  <c r="K64" i="2" s="1"/>
  <c r="J63" i="2"/>
  <c r="K63" i="2" s="1"/>
  <c r="J62" i="2"/>
  <c r="K62" i="2" s="1"/>
  <c r="J61" i="2"/>
  <c r="K61" i="2" s="1"/>
  <c r="J60" i="2"/>
  <c r="K60" i="2" s="1"/>
  <c r="J59" i="2"/>
  <c r="K59" i="2" s="1"/>
  <c r="J58" i="2"/>
  <c r="K58" i="2" s="1"/>
  <c r="J57" i="2"/>
  <c r="K57" i="2" s="1"/>
  <c r="J56" i="2"/>
  <c r="K56" i="2" s="1"/>
  <c r="J55" i="2"/>
  <c r="K55" i="2" s="1"/>
  <c r="J54" i="2"/>
  <c r="K54" i="2" s="1"/>
  <c r="J53" i="2"/>
  <c r="K53" i="2" s="1"/>
  <c r="J52" i="2"/>
  <c r="K52" i="2" s="1"/>
  <c r="J51" i="2"/>
  <c r="K51" i="2" s="1"/>
  <c r="J50" i="2"/>
  <c r="K50" i="2" s="1"/>
  <c r="J49" i="2"/>
  <c r="K49" i="2" s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</calcChain>
</file>

<file path=xl/sharedStrings.xml><?xml version="1.0" encoding="utf-8"?>
<sst xmlns="http://schemas.openxmlformats.org/spreadsheetml/2006/main" count="4044" uniqueCount="1146">
  <si>
    <t>YEAR</t>
  </si>
  <si>
    <t>STATE NAME</t>
  </si>
  <si>
    <t>CONSTITUENCY NAME</t>
  </si>
  <si>
    <t>CONSTITUENCY NUMBER</t>
  </si>
  <si>
    <t>WINNER CANDIDATE NAME</t>
  </si>
  <si>
    <t>GENDER</t>
  </si>
  <si>
    <t>PARTY NAME</t>
  </si>
  <si>
    <t>PARTY SYMBOL</t>
  </si>
  <si>
    <t>TOTAL ELECTORS</t>
  </si>
  <si>
    <t>TOTAL NUMBER OF VOTERS (MARGIN)</t>
  </si>
  <si>
    <t>VOTE %</t>
  </si>
  <si>
    <t>CATEGORY</t>
  </si>
  <si>
    <t>TOTAL VOTES CASTED</t>
  </si>
  <si>
    <t>Manipur</t>
  </si>
  <si>
    <t>Heingang</t>
  </si>
  <si>
    <t>L.N. Singh</t>
  </si>
  <si>
    <t>M</t>
  </si>
  <si>
    <t>IND</t>
  </si>
  <si>
    <t>Free Symbol</t>
  </si>
  <si>
    <t>GEN</t>
  </si>
  <si>
    <t>Tamenglong</t>
  </si>
  <si>
    <t>J. Panmei</t>
  </si>
  <si>
    <t>ST</t>
  </si>
  <si>
    <t>Singjamei</t>
  </si>
  <si>
    <t>I.H. Singh</t>
  </si>
  <si>
    <t>INC</t>
  </si>
  <si>
    <t>Hand</t>
  </si>
  <si>
    <t>Oinam</t>
  </si>
  <si>
    <t>K.A. Devi</t>
  </si>
  <si>
    <t>F</t>
  </si>
  <si>
    <t>Khundrakpam</t>
  </si>
  <si>
    <t>Konjengbam Binoy</t>
  </si>
  <si>
    <t>Bicycle</t>
  </si>
  <si>
    <t>Saikul</t>
  </si>
  <si>
    <t>Yamthong Haokip</t>
  </si>
  <si>
    <t>Singhat</t>
  </si>
  <si>
    <t>Ginsuanhau</t>
  </si>
  <si>
    <t>Samuel Jendai Kamei</t>
  </si>
  <si>
    <t>BJP</t>
  </si>
  <si>
    <t>Lotus</t>
  </si>
  <si>
    <t>Laishram Radhakishore Singh</t>
  </si>
  <si>
    <t>Wangoi</t>
  </si>
  <si>
    <t>Oinam Lukhoi Singh</t>
  </si>
  <si>
    <t>Lilong</t>
  </si>
  <si>
    <t>Y. Antas Khan</t>
  </si>
  <si>
    <t>Wangjing Tentha</t>
  </si>
  <si>
    <t>Paonam Brojen Singh</t>
  </si>
  <si>
    <t>Saitu</t>
  </si>
  <si>
    <t>Ngamthang Haokip</t>
  </si>
  <si>
    <t>Ginsuanhau Zou</t>
  </si>
  <si>
    <t>Thongju</t>
  </si>
  <si>
    <t>T. Biswajit Singh</t>
  </si>
  <si>
    <t>Keishamthong</t>
  </si>
  <si>
    <t>Sapam Nishikant Singh</t>
  </si>
  <si>
    <t>Nagaland</t>
  </si>
  <si>
    <t>Peren</t>
  </si>
  <si>
    <t>Kielu</t>
  </si>
  <si>
    <t>Mithun</t>
  </si>
  <si>
    <t>Chazouba</t>
  </si>
  <si>
    <t>N. Theyo</t>
  </si>
  <si>
    <t>Mongoya</t>
  </si>
  <si>
    <t>C. Jamir</t>
  </si>
  <si>
    <t>Wakching</t>
  </si>
  <si>
    <t>P. Enyei</t>
  </si>
  <si>
    <t>Tuensang Sadar</t>
  </si>
  <si>
    <t>Changkong</t>
  </si>
  <si>
    <t>Dimapur-I</t>
  </si>
  <si>
    <t>Hokishe</t>
  </si>
  <si>
    <t>Western Angami</t>
  </si>
  <si>
    <t>N.T. Nakhro</t>
  </si>
  <si>
    <t>Tehok</t>
  </si>
  <si>
    <t>W. Wangyuh</t>
  </si>
  <si>
    <t>Aonglenden</t>
  </si>
  <si>
    <t>Toshipokba</t>
  </si>
  <si>
    <t>Rooster</t>
  </si>
  <si>
    <t>Northern Angami-II</t>
  </si>
  <si>
    <t>Neiphiu Rio</t>
  </si>
  <si>
    <t>NDPP</t>
  </si>
  <si>
    <t>Globe</t>
  </si>
  <si>
    <t>Uncontested</t>
  </si>
  <si>
    <t xml:space="preserve">Inner Manipur </t>
  </si>
  <si>
    <t>R.K. Dorendra Singh</t>
  </si>
  <si>
    <t>CPl</t>
  </si>
  <si>
    <t>Corn and Sickel</t>
  </si>
  <si>
    <t xml:space="preserve">Outer Manipur </t>
  </si>
  <si>
    <t>Holkhomang Haokip</t>
  </si>
  <si>
    <t>NCP</t>
  </si>
  <si>
    <t>Clock</t>
  </si>
  <si>
    <t xml:space="preserve">Nagaland </t>
  </si>
  <si>
    <t xml:space="preserve">	Tokheho Yepthomi</t>
  </si>
  <si>
    <t xml:space="preserve">M </t>
  </si>
  <si>
    <t xml:space="preserve">	11,97,436</t>
  </si>
  <si>
    <t xml:space="preserve">	58.45%</t>
  </si>
  <si>
    <t xml:space="preserve">	10,16,513</t>
  </si>
  <si>
    <t>Puducherry</t>
  </si>
  <si>
    <t>M. O. H. Farook</t>
  </si>
  <si>
    <t>Andhra Pradesh</t>
  </si>
  <si>
    <t>Harishchandrapuram</t>
  </si>
  <si>
    <t>Atchannaidu Kinjarapu</t>
  </si>
  <si>
    <t>TDP</t>
  </si>
  <si>
    <t>Pathapatnam</t>
  </si>
  <si>
    <t>Lakshmi Parvathi N.</t>
  </si>
  <si>
    <t>Lion</t>
  </si>
  <si>
    <t>Narasipatnam</t>
  </si>
  <si>
    <t>Ch. Ayyanna Patrudu</t>
  </si>
  <si>
    <t>Mummidivaram</t>
  </si>
  <si>
    <t>G.M.C. Balayogi</t>
  </si>
  <si>
    <t>SC</t>
  </si>
  <si>
    <t>Nagaram</t>
  </si>
  <si>
    <t>K. S. R. Murthy</t>
  </si>
  <si>
    <t>Narasapur</t>
  </si>
  <si>
    <t>Kothapalli Janakiram</t>
  </si>
  <si>
    <t>Punganur</t>
  </si>
  <si>
    <t>N. Amaranatha Reddy</t>
  </si>
  <si>
    <t>Hindupur</t>
  </si>
  <si>
    <t>Nandamuri Harikrishna</t>
  </si>
  <si>
    <t>Penukonda</t>
  </si>
  <si>
    <t>Paritala Ravindra</t>
  </si>
  <si>
    <t>Dhone</t>
  </si>
  <si>
    <t>K.E. Prabhakar</t>
  </si>
  <si>
    <t>Jadcherla</t>
  </si>
  <si>
    <t>M. Chandra Sekhar</t>
  </si>
  <si>
    <t>Kodangal</t>
  </si>
  <si>
    <t>G. Gurunath Reddy</t>
  </si>
  <si>
    <t>Nirmal</t>
  </si>
  <si>
    <t>S. Venugopala Chary</t>
  </si>
  <si>
    <t>Jagtial</t>
  </si>
  <si>
    <t>L. Ramana</t>
  </si>
  <si>
    <t>Mulug</t>
  </si>
  <si>
    <t>Ajmeera Chandulal</t>
  </si>
  <si>
    <t>Sujanagar</t>
  </si>
  <si>
    <t>B. Venkateswara Rao</t>
  </si>
  <si>
    <t>Sickle &amp; Hammer</t>
  </si>
  <si>
    <t>Darsi</t>
  </si>
  <si>
    <t>Narapusetty Papa Rao</t>
  </si>
  <si>
    <t>Allagadda</t>
  </si>
  <si>
    <t>Bhuma Shobha Rani</t>
  </si>
  <si>
    <t>Hanamkonda (LS)</t>
  </si>
  <si>
    <t>Dr. P. V. Ranga Rao</t>
  </si>
  <si>
    <t>Madhira (LA)</t>
  </si>
  <si>
    <t>Katta Venkatanarasaiah</t>
  </si>
  <si>
    <t>CPI(M)</t>
  </si>
  <si>
    <t>Hammer &amp; Sickle</t>
  </si>
  <si>
    <t>Chelli Vivekananda</t>
  </si>
  <si>
    <t>Attili</t>
  </si>
  <si>
    <t>Dandu Sivarama Raju</t>
  </si>
  <si>
    <t>Andole</t>
  </si>
  <si>
    <t>P. Babu Mohan</t>
  </si>
  <si>
    <t>Metpalli</t>
  </si>
  <si>
    <t>Komi Reddy Jyothi Devi</t>
  </si>
  <si>
    <t>Gudivada</t>
  </si>
  <si>
    <t>Raavi Venkateswara Rao</t>
  </si>
  <si>
    <t>Chevella</t>
  </si>
  <si>
    <t>Patlolla Sabitha</t>
  </si>
  <si>
    <t>Bhongir</t>
  </si>
  <si>
    <t>Alimineti Uma Devi</t>
  </si>
  <si>
    <t>Giddalur</t>
  </si>
  <si>
    <t>Pidathala Sai Kalpana</t>
  </si>
  <si>
    <t>Badvel</t>
  </si>
  <si>
    <t>Bijivemula Koneti Reddy</t>
  </si>
  <si>
    <t>Vuyyuru</t>
  </si>
  <si>
    <t>Anne Vijaya Lakshmi</t>
  </si>
  <si>
    <t>Siddipet</t>
  </si>
  <si>
    <t>K. Chandrashekar Rao</t>
  </si>
  <si>
    <t>TRS</t>
  </si>
  <si>
    <t>Car</t>
  </si>
  <si>
    <t>Deverakonda (ST)</t>
  </si>
  <si>
    <t>Smt. Deeravath Bharathi</t>
  </si>
  <si>
    <t>Medak</t>
  </si>
  <si>
    <t>Karanam Uma Devi</t>
  </si>
  <si>
    <t>Karwan</t>
  </si>
  <si>
    <t>Mohd. Muqtada Khan</t>
  </si>
  <si>
    <t>Kite</t>
  </si>
  <si>
    <t>Harish Rao. T</t>
  </si>
  <si>
    <t>Male</t>
  </si>
  <si>
    <t>Asafnagar</t>
  </si>
  <si>
    <t>Mohd Moazam Khan</t>
  </si>
  <si>
    <t>Paritala Sunithamma</t>
  </si>
  <si>
    <t>Female</t>
  </si>
  <si>
    <t>Makthal</t>
  </si>
  <si>
    <t>Chittemram Mohan Reddy</t>
  </si>
  <si>
    <t>Indian National Congress</t>
  </si>
  <si>
    <t>Visakhapatnam-I</t>
  </si>
  <si>
    <t>Dronamraju Satyanarayana</t>
  </si>
  <si>
    <t>Therlam</t>
  </si>
  <si>
    <t>Thentu Lakshmu Naidu</t>
  </si>
  <si>
    <t>Dr. Mallu Ravi</t>
  </si>
  <si>
    <t>Vikarabad</t>
  </si>
  <si>
    <t>G. Prasad Kumar</t>
  </si>
  <si>
    <t>Musheerabad</t>
  </si>
  <si>
    <t>T. Manemma</t>
  </si>
  <si>
    <t>Secunderabad</t>
  </si>
  <si>
    <t>Talasani Srinivas Yadav</t>
  </si>
  <si>
    <t>Khairatabad</t>
  </si>
  <si>
    <t>P. Vishnuvardhan Reddy</t>
  </si>
  <si>
    <t>Tanneru Harish Rao</t>
  </si>
  <si>
    <t>Dommat</t>
  </si>
  <si>
    <t>Solipeta Ramlinga Reddy</t>
  </si>
  <si>
    <t>Yellareddy</t>
  </si>
  <si>
    <t>Janardhan Goud B.</t>
  </si>
  <si>
    <t>Dichpalli</t>
  </si>
  <si>
    <t>Akula Lalitha</t>
  </si>
  <si>
    <t>Khanapur</t>
  </si>
  <si>
    <t>Suman Ramesh Rathod</t>
  </si>
  <si>
    <t>Myadaram</t>
  </si>
  <si>
    <t>Koppula Eshwar</t>
  </si>
  <si>
    <t>Huzurabad</t>
  </si>
  <si>
    <t>Capt. V. L. Kantha Rao</t>
  </si>
  <si>
    <t>Kamalapur</t>
  </si>
  <si>
    <t>Etala Rajender</t>
  </si>
  <si>
    <t>Cheriyal</t>
  </si>
  <si>
    <t>Pratap Reddy Kommuri</t>
  </si>
  <si>
    <t>Ghanpur</t>
  </si>
  <si>
    <t>Kadiyam Sri Hari</t>
  </si>
  <si>
    <t>Alair</t>
  </si>
  <si>
    <t>Dr. Kududula Nagesh</t>
  </si>
  <si>
    <t>Pulivendla</t>
  </si>
  <si>
    <t>Y. S. Vijayamma</t>
  </si>
  <si>
    <t>YSRCP</t>
  </si>
  <si>
    <t>CEILING FAN</t>
  </si>
  <si>
    <t>Banswada</t>
  </si>
  <si>
    <t>Pocharam Srinivas Reddy</t>
  </si>
  <si>
    <t>CAR</t>
  </si>
  <si>
    <t>Tekkali</t>
  </si>
  <si>
    <t>Korla Bharathi</t>
  </si>
  <si>
    <t>HAND</t>
  </si>
  <si>
    <t>Sirpur</t>
  </si>
  <si>
    <t>Kaveti Sammaiah</t>
  </si>
  <si>
    <t>Chennur</t>
  </si>
  <si>
    <t>Nallala Odelu</t>
  </si>
  <si>
    <t>Mancherial</t>
  </si>
  <si>
    <t>Aravind Reddy Gaddam</t>
  </si>
  <si>
    <t>Eanugu Ravinder Reddy</t>
  </si>
  <si>
    <t>Nizamabad Urban</t>
  </si>
  <si>
    <t>Endala Lakshmi Narayana</t>
  </si>
  <si>
    <t>LOTUS</t>
  </si>
  <si>
    <t>Koratla</t>
  </si>
  <si>
    <t>K. V. S. Rao</t>
  </si>
  <si>
    <t>Dharmapuri</t>
  </si>
  <si>
    <t>E. Koppula</t>
  </si>
  <si>
    <t>Vemulawada</t>
  </si>
  <si>
    <t>Ramesh Chennamaneni</t>
  </si>
  <si>
    <t>Sircilla</t>
  </si>
  <si>
    <t>K. T. Rama Rao</t>
  </si>
  <si>
    <t>E. Rajender</t>
  </si>
  <si>
    <t>T. Harish Rao</t>
  </si>
  <si>
    <t>Warangal West</t>
  </si>
  <si>
    <t>O. V. Bhaskar</t>
  </si>
  <si>
    <t>Nandigama</t>
  </si>
  <si>
    <t>Tangirala Sowmya</t>
  </si>
  <si>
    <t>BICYCLE</t>
  </si>
  <si>
    <t>Bhuma Akhila Priya Reddy</t>
  </si>
  <si>
    <t>Tirupati</t>
  </si>
  <si>
    <t>Mannuru Suguna</t>
  </si>
  <si>
    <t>Kalva Kurthy</t>
  </si>
  <si>
    <t>Chittem Rammohan Reddy</t>
  </si>
  <si>
    <t>Nandyal</t>
  </si>
  <si>
    <t>B. Brahmananda Reddy</t>
  </si>
  <si>
    <t>Dasari Sudha</t>
  </si>
  <si>
    <t>Atmakur</t>
  </si>
  <si>
    <t>Mekapati Vikram Reddy</t>
  </si>
  <si>
    <t>Arunachal Pradesh</t>
  </si>
  <si>
    <t>Basar (ST)</t>
  </si>
  <si>
    <t>Jobom Basar</t>
  </si>
  <si>
    <t>Namsang (ST)</t>
  </si>
  <si>
    <t>Changkom Hondik</t>
  </si>
  <si>
    <t>Pakke Kessang (ST)</t>
  </si>
  <si>
    <t>Nyani Natung</t>
  </si>
  <si>
    <t>Daporijo (ST)</t>
  </si>
  <si>
    <t>Yari Dulom</t>
  </si>
  <si>
    <t>Roing</t>
  </si>
  <si>
    <t>Mukut Mithi</t>
  </si>
  <si>
    <t>Lumla</t>
  </si>
  <si>
    <t>Jambey Tashi</t>
  </si>
  <si>
    <t>Tawang</t>
  </si>
  <si>
    <t>Tsewang Dhondup</t>
  </si>
  <si>
    <t>Mukto</t>
  </si>
  <si>
    <t>Dorjee Khandu</t>
  </si>
  <si>
    <t>Dirang</t>
  </si>
  <si>
    <t>Phurpa Tsering</t>
  </si>
  <si>
    <t>Maize</t>
  </si>
  <si>
    <t>Pakke Kessang</t>
  </si>
  <si>
    <t>Atum Welly</t>
  </si>
  <si>
    <t>Itanagar</t>
  </si>
  <si>
    <t>Techi Kaso</t>
  </si>
  <si>
    <t>Sagalee</t>
  </si>
  <si>
    <t>Nabam Tuki</t>
  </si>
  <si>
    <t>Daporijo</t>
  </si>
  <si>
    <t>Tapen Siga</t>
  </si>
  <si>
    <t>Basar</t>
  </si>
  <si>
    <t>Gojen Gadi</t>
  </si>
  <si>
    <t>Laeta Umbrey</t>
  </si>
  <si>
    <t>Flowers &amp; Grass</t>
  </si>
  <si>
    <t>Hayuliang</t>
  </si>
  <si>
    <t>Kalikho Pul</t>
  </si>
  <si>
    <t>Namsang</t>
  </si>
  <si>
    <t>Wangki Lowang</t>
  </si>
  <si>
    <t>Mukto (ST)</t>
  </si>
  <si>
    <t>Pema Khandu</t>
  </si>
  <si>
    <t>Kanubari (ST)</t>
  </si>
  <si>
    <t>Gabriel Denwang Wangsu</t>
  </si>
  <si>
    <t>Seppa West</t>
  </si>
  <si>
    <t>Mama Natung</t>
  </si>
  <si>
    <t>Pakke-Kessang</t>
  </si>
  <si>
    <t>Kameng Dolo</t>
  </si>
  <si>
    <t>Doimukh</t>
  </si>
  <si>
    <t>Nabam Rebia</t>
  </si>
  <si>
    <t>Palin</t>
  </si>
  <si>
    <t>Takam Pario</t>
  </si>
  <si>
    <t>Nyapin</t>
  </si>
  <si>
    <t>Bamang Felix</t>
  </si>
  <si>
    <t>Nacho</t>
  </si>
  <si>
    <t>Tanga Byaling</t>
  </si>
  <si>
    <t>Taliha</t>
  </si>
  <si>
    <t>Punji Mara</t>
  </si>
  <si>
    <t>Mebo</t>
  </si>
  <si>
    <t>Lombo Tayeng</t>
  </si>
  <si>
    <t>Liromoba (ST)</t>
  </si>
  <si>
    <t>Nyamar Karbak</t>
  </si>
  <si>
    <t>Hayuliang (ST)</t>
  </si>
  <si>
    <t>Dasanglu Pul</t>
  </si>
  <si>
    <t>Biyuram Wahge</t>
  </si>
  <si>
    <t>Likabali</t>
  </si>
  <si>
    <t>Kardo Nyigyor</t>
  </si>
  <si>
    <t>Tsering Lhamu</t>
  </si>
  <si>
    <t>Bhuma Nagi Reddy</t>
  </si>
  <si>
    <t>Amalapuram</t>
  </si>
  <si>
    <t>Ganti Vijaya Kumari</t>
  </si>
  <si>
    <t>Bobbili</t>
  </si>
  <si>
    <t>Jhansi Lakshmi Botcha</t>
  </si>
  <si>
    <t>Karimnagar</t>
  </si>
  <si>
    <t>K. Chandra Shakher Rao</t>
  </si>
  <si>
    <t>K. Chandra Shekhar Rao</t>
  </si>
  <si>
    <t>Hanamkonda</t>
  </si>
  <si>
    <t>Boianapalli Vinod Kumar</t>
  </si>
  <si>
    <t>Warangal</t>
  </si>
  <si>
    <t>Errabelli Dayakar Rao</t>
  </si>
  <si>
    <t>Adilabad</t>
  </si>
  <si>
    <t>Allola Indrakaran Reddy</t>
  </si>
  <si>
    <t>Kadapa</t>
  </si>
  <si>
    <t>Y.S. JAGAN MOHAN REDDY</t>
  </si>
  <si>
    <t>Ceiling Fan</t>
  </si>
  <si>
    <t>Tirupathi</t>
  </si>
  <si>
    <t>MADDILA GURUMOORTHY</t>
  </si>
  <si>
    <t>Arunachal West</t>
  </si>
  <si>
    <t>Takam Sanjoy</t>
  </si>
  <si>
    <t>Arunachal East</t>
  </si>
  <si>
    <t>Ninong Ering</t>
  </si>
  <si>
    <t>Kiren Rijiju</t>
  </si>
  <si>
    <t>Bihar</t>
  </si>
  <si>
    <t>Chapra</t>
  </si>
  <si>
    <t>Ramdeo Singh</t>
  </si>
  <si>
    <t>Patna</t>
  </si>
  <si>
    <t>Ram Nath Pandey</t>
  </si>
  <si>
    <t>Bharatiya Lok Dal</t>
  </si>
  <si>
    <t>Other</t>
  </si>
  <si>
    <t>Begusarai</t>
  </si>
  <si>
    <t>Yogendra Sharma</t>
  </si>
  <si>
    <t>Communist Party Of India</t>
  </si>
  <si>
    <t>Buxar</t>
  </si>
  <si>
    <t>Anant Sharma</t>
  </si>
  <si>
    <t>Indian National Congress (I)</t>
  </si>
  <si>
    <t>Samastipur</t>
  </si>
  <si>
    <t>Lalu Prasad Yadav</t>
  </si>
  <si>
    <t>Gopalganj</t>
  </si>
  <si>
    <t>Kali Prasad</t>
  </si>
  <si>
    <t>Hajipur</t>
  </si>
  <si>
    <t>Ram Ratan Ram</t>
  </si>
  <si>
    <t>Barh</t>
  </si>
  <si>
    <t>Prakash Chandra</t>
  </si>
  <si>
    <t>Ram Lakhan Singh Yadav</t>
  </si>
  <si>
    <t>Janata Dal</t>
  </si>
  <si>
    <t>Wheel</t>
  </si>
  <si>
    <t>Purnea</t>
  </si>
  <si>
    <t>Taslimudin</t>
  </si>
  <si>
    <t>Madhepura</t>
  </si>
  <si>
    <t>Rajesh Ranjan alias Pappu Yadav</t>
  </si>
  <si>
    <t>Rashtriya Janata Dal</t>
  </si>
  <si>
    <t>Lantern</t>
  </si>
  <si>
    <t>Maharajganj</t>
  </si>
  <si>
    <t>Uma Shankar Singh</t>
  </si>
  <si>
    <t>Prabhunath Singh</t>
  </si>
  <si>
    <t>Ganesh Singh</t>
  </si>
  <si>
    <t>Bharatiya Janta Party</t>
  </si>
  <si>
    <t>Araria</t>
  </si>
  <si>
    <t>Sarfaraz Alam</t>
  </si>
  <si>
    <t>Jehanabad</t>
  </si>
  <si>
    <t>Chandeshwar Verma</t>
  </si>
  <si>
    <t>Jharia</t>
  </si>
  <si>
    <t>A. Devi</t>
  </si>
  <si>
    <t>Paliganj</t>
  </si>
  <si>
    <t>Suresh Pasi</t>
  </si>
  <si>
    <t>Samajwadi Party</t>
  </si>
  <si>
    <t>Janardan Sharma</t>
  </si>
  <si>
    <t>Mashrakh</t>
  </si>
  <si>
    <t>Ram Lakhan Yadav</t>
  </si>
  <si>
    <t>Sheohar</t>
  </si>
  <si>
    <t>Thakur Ratnakar</t>
  </si>
  <si>
    <t>Koderma</t>
  </si>
  <si>
    <t>Annapurna Devi</t>
  </si>
  <si>
    <t>Adapur</t>
  </si>
  <si>
    <t>Shyam Bihari Prasad</t>
  </si>
  <si>
    <t>Purnia</t>
  </si>
  <si>
    <t>Madhvi Sarkar</t>
  </si>
  <si>
    <t>Communist Party Of India (Marxist)</t>
  </si>
  <si>
    <t>Belaganj</t>
  </si>
  <si>
    <t>Mahesh Singh Yadav</t>
  </si>
  <si>
    <t>Govindganj</t>
  </si>
  <si>
    <t>Ramnath</t>
  </si>
  <si>
    <t>Independent</t>
  </si>
  <si>
    <t>Rising Sun/Other</t>
  </si>
  <si>
    <t>Sitamarhi</t>
  </si>
  <si>
    <t>Sunil Kumar</t>
  </si>
  <si>
    <t>Fatwa</t>
  </si>
  <si>
    <t>Ram Vilas Ram</t>
  </si>
  <si>
    <t>Janata Dal (United)</t>
  </si>
  <si>
    <t>Arrow</t>
  </si>
  <si>
    <t>Barachatti</t>
  </si>
  <si>
    <t>Krishna Mohan Yadav</t>
  </si>
  <si>
    <t>Patna West</t>
  </si>
  <si>
    <t>Nitin Navin</t>
  </si>
  <si>
    <t>Bhagalpur</t>
  </si>
  <si>
    <t>Syed Shahnawaz Husain</t>
  </si>
  <si>
    <t>Kurhani</t>
  </si>
  <si>
    <t>Vinod Kumar</t>
  </si>
  <si>
    <t>Aurai</t>
  </si>
  <si>
    <t>Surendra Kumar Yadav</t>
  </si>
  <si>
    <t>Bagaha</t>
  </si>
  <si>
    <t>Raghvendra Kumar Singh</t>
  </si>
  <si>
    <t>Triveniganj</t>
  </si>
  <si>
    <t>Pramod Kumar</t>
  </si>
  <si>
    <t>Warisnagar</t>
  </si>
  <si>
    <t>Viswanath Paswan</t>
  </si>
  <si>
    <t>Lok Jan Shakti Party</t>
  </si>
  <si>
    <t>Bungalow</t>
  </si>
  <si>
    <t>Simri Bakhtiarpur</t>
  </si>
  <si>
    <t>Zafar Alam</t>
  </si>
  <si>
    <t>Vijay Kumar Mandal</t>
  </si>
  <si>
    <t>Chainpur</t>
  </si>
  <si>
    <t>Brij Kishor Vind</t>
  </si>
  <si>
    <t>Chenari</t>
  </si>
  <si>
    <t>Murari Prasad Gautam</t>
  </si>
  <si>
    <t>Ramgarh</t>
  </si>
  <si>
    <t>Ambika Singh</t>
  </si>
  <si>
    <t>Phulwari Sharif</t>
  </si>
  <si>
    <t>Ramprit Mandal</t>
  </si>
  <si>
    <t>Bodh Gaya</t>
  </si>
  <si>
    <t>Kumar Sarvjeet</t>
  </si>
  <si>
    <t>Ghoshi</t>
  </si>
  <si>
    <t>Shanti Sharma</t>
  </si>
  <si>
    <t>Laukaha</t>
  </si>
  <si>
    <t>Satish Kumar Sah</t>
  </si>
  <si>
    <t>Kiran Keshri</t>
  </si>
  <si>
    <t>Daraunda</t>
  </si>
  <si>
    <t>Kavita Singh</t>
  </si>
  <si>
    <t>Kalyanpur</t>
  </si>
  <si>
    <t>Manju Kumari</t>
  </si>
  <si>
    <t>Narkatiaganj</t>
  </si>
  <si>
    <t>Randhir Kumar Singh</t>
  </si>
  <si>
    <t>Awadhesh Kumar Singh</t>
  </si>
  <si>
    <t>Banka</t>
  </si>
  <si>
    <t>Ramnarayan Mandal</t>
  </si>
  <si>
    <t>Mohania</t>
  </si>
  <si>
    <t>Anil Kumar</t>
  </si>
  <si>
    <t>Rajnagar</t>
  </si>
  <si>
    <t>Md. Istiyaq</t>
  </si>
  <si>
    <t>Anil Kumar Sharma</t>
  </si>
  <si>
    <t>Mohiuddinnagar</t>
  </si>
  <si>
    <t>Md. Javed</t>
  </si>
  <si>
    <t>Jale</t>
  </si>
  <si>
    <t>Sudhir Kumar Singh</t>
  </si>
  <si>
    <t>Parbatta</t>
  </si>
  <si>
    <t>Ajeet Sharma</t>
  </si>
  <si>
    <t>Harlakhi</t>
  </si>
  <si>
    <t>Sudhanshu Shekhar</t>
  </si>
  <si>
    <t>Rashtriya Lok Samta Party</t>
  </si>
  <si>
    <t>Kumar Krishna Mohan</t>
  </si>
  <si>
    <t>Bhabua</t>
  </si>
  <si>
    <t>Rinki Rani Pandey</t>
  </si>
  <si>
    <t>Kishanganj</t>
  </si>
  <si>
    <t>Qamrul Hoda</t>
  </si>
  <si>
    <t>All India Majlis-e-Ittehadul Muslimeen</t>
  </si>
  <si>
    <t>Belhar</t>
  </si>
  <si>
    <t>Ramdeo Yadav</t>
  </si>
  <si>
    <t>Nathnagar</t>
  </si>
  <si>
    <t>Laxmi Kant Mandal</t>
  </si>
  <si>
    <t>Karanjeet Singh</t>
  </si>
  <si>
    <t>Dehri</t>
  </si>
  <si>
    <t>Satyanarayan Singh</t>
  </si>
  <si>
    <t>Nawada</t>
  </si>
  <si>
    <t>Kaushal Yadav</t>
  </si>
  <si>
    <t>Kusheshwar Asthan</t>
  </si>
  <si>
    <t>Aman Bhushan Hajari</t>
  </si>
  <si>
    <t>Tarapur</t>
  </si>
  <si>
    <t>Rajeev Kumar Singh</t>
  </si>
  <si>
    <t>Mokama</t>
  </si>
  <si>
    <t>Neelam Devi</t>
  </si>
  <si>
    <t>Kusum Devi</t>
  </si>
  <si>
    <t>Bochahan</t>
  </si>
  <si>
    <t>Amar Paswan</t>
  </si>
  <si>
    <t>Tarari</t>
  </si>
  <si>
    <t>Vishal Prasad</t>
  </si>
  <si>
    <t>Bharatiya Janata Party</t>
  </si>
  <si>
    <t>Manohar Mandal</t>
  </si>
  <si>
    <t>Surendra Yadav</t>
  </si>
  <si>
    <t>Imamganj</t>
  </si>
  <si>
    <t>Deepa Manjhi</t>
  </si>
  <si>
    <t>Hindustani Awam Morcha (Secular)</t>
  </si>
  <si>
    <t>Delhi</t>
  </si>
  <si>
    <t>New Delhi</t>
  </si>
  <si>
    <t>Sucheta Kriplani</t>
  </si>
  <si>
    <t>South Delhi</t>
  </si>
  <si>
    <t>Arjun Singh</t>
  </si>
  <si>
    <t>Rajesh Khanna</t>
  </si>
  <si>
    <t>East Delhi</t>
  </si>
  <si>
    <t>Lal Bihari Tiwari</t>
  </si>
  <si>
    <t>Sadar</t>
  </si>
  <si>
    <t>Krishan Kumar</t>
  </si>
  <si>
    <t>Baljit Nagar</t>
  </si>
  <si>
    <t>Rajesh Lilothia</t>
  </si>
  <si>
    <t>Rajouri Garden</t>
  </si>
  <si>
    <t>Dayanand Chandila</t>
  </si>
  <si>
    <t>Ghonda</t>
  </si>
  <si>
    <t>Bharat Singh</t>
  </si>
  <si>
    <t>Krishna Nagar</t>
  </si>
  <si>
    <t>Kiran Walia</t>
  </si>
  <si>
    <t>Manjinder Singh Sirsa</t>
  </si>
  <si>
    <t>Bawana</t>
  </si>
  <si>
    <t>Ram Chander</t>
  </si>
  <si>
    <t>Aam Aadmi Party</t>
  </si>
  <si>
    <t>Broom</t>
  </si>
  <si>
    <t>Rajinder Nagar</t>
  </si>
  <si>
    <t>Durgesh Pathak</t>
  </si>
  <si>
    <t>NA</t>
  </si>
  <si>
    <t>Tripura</t>
  </si>
  <si>
    <t>Tripura West</t>
  </si>
  <si>
    <t>B. Bhowmik</t>
  </si>
  <si>
    <t>Hammer, Sickle &amp; Star</t>
  </si>
  <si>
    <t>Santosh Mohan Dev</t>
  </si>
  <si>
    <t>Khagen Das</t>
  </si>
  <si>
    <t>Meghalaya</t>
  </si>
  <si>
    <t>Tura</t>
  </si>
  <si>
    <t>K. R. Marak</t>
  </si>
  <si>
    <t>APHLC</t>
  </si>
  <si>
    <t>Flower</t>
  </si>
  <si>
    <t>Sanford Marak</t>
  </si>
  <si>
    <t>P. A. Sangma</t>
  </si>
  <si>
    <t>Agatha Sangma</t>
  </si>
  <si>
    <t>Conrad Sangma</t>
  </si>
  <si>
    <t>NPP</t>
  </si>
  <si>
    <t>Book</t>
  </si>
  <si>
    <t>Santirbazar</t>
  </si>
  <si>
    <t>Narayan R</t>
  </si>
  <si>
    <t>Kanchanpur</t>
  </si>
  <si>
    <t>B Induram</t>
  </si>
  <si>
    <t>Banamalipur</t>
  </si>
  <si>
    <t>Prasanta K</t>
  </si>
  <si>
    <t>Ear of Corn &amp; Sickle</t>
  </si>
  <si>
    <t>Nalchar</t>
  </si>
  <si>
    <t>Tapan Chandra Das</t>
  </si>
  <si>
    <t>Manu</t>
  </si>
  <si>
    <t>Prabhat Chowdhury</t>
  </si>
  <si>
    <t>Pratapgarh</t>
  </si>
  <si>
    <t>Ramu Das</t>
  </si>
  <si>
    <t>Surma</t>
  </si>
  <si>
    <t>Anjan Das</t>
  </si>
  <si>
    <t>Amarpur</t>
  </si>
  <si>
    <t>Parimal Debnath</t>
  </si>
  <si>
    <t>Barjala</t>
  </si>
  <si>
    <t>Jhumu Sarkar</t>
  </si>
  <si>
    <t>Khowai</t>
  </si>
  <si>
    <t>Biswajit Dutta</t>
  </si>
  <si>
    <t>Badharghat</t>
  </si>
  <si>
    <t>Mimi Majumder</t>
  </si>
  <si>
    <t>Agartala</t>
  </si>
  <si>
    <t>Sudip Roy Barman</t>
  </si>
  <si>
    <t>Town Bordowali</t>
  </si>
  <si>
    <t>Manik Saha</t>
  </si>
  <si>
    <t>Swapna Das</t>
  </si>
  <si>
    <t>Jubarajnagar</t>
  </si>
  <si>
    <t>Malina Debnath</t>
  </si>
  <si>
    <t>Boxanagar</t>
  </si>
  <si>
    <t>Tafajjal Hossain</t>
  </si>
  <si>
    <t>Dhanpur</t>
  </si>
  <si>
    <t>Bindu Debnath</t>
  </si>
  <si>
    <t>Ramnagar</t>
  </si>
  <si>
    <t>Dipak Majumder</t>
  </si>
  <si>
    <t>South Tura</t>
  </si>
  <si>
    <t>Ranikor</t>
  </si>
  <si>
    <t>Pius Marwein</t>
  </si>
  <si>
    <t>Drum</t>
  </si>
  <si>
    <t>Shella</t>
  </si>
  <si>
    <t>Balajied Kupar</t>
  </si>
  <si>
    <t>Mawryngkneng</t>
  </si>
  <si>
    <t>Pyniaid Sing</t>
  </si>
  <si>
    <t>Mawphlang</t>
  </si>
  <si>
    <t>Eugeneson Lyngdoh</t>
  </si>
  <si>
    <t>Rajabala</t>
  </si>
  <si>
    <t>Abdur Saleh</t>
  </si>
  <si>
    <t>Gambegre</t>
  </si>
  <si>
    <t>Mehtab Chandee</t>
  </si>
  <si>
    <t>Goa</t>
  </si>
  <si>
    <t>Marcaim</t>
  </si>
  <si>
    <t>Dayanand Bandodkar</t>
  </si>
  <si>
    <t>Siroda</t>
  </si>
  <si>
    <t>S. S. Barnable</t>
  </si>
  <si>
    <t>Cortalim</t>
  </si>
  <si>
    <t>Mauvin Godinho</t>
  </si>
  <si>
    <t>Benaulim</t>
  </si>
  <si>
    <t>Francisco Pacheco</t>
  </si>
  <si>
    <t>Margao</t>
  </si>
  <si>
    <t>Digambar Kamat</t>
  </si>
  <si>
    <t>Taleigao</t>
  </si>
  <si>
    <t>Atanasio Monserrate</t>
  </si>
  <si>
    <t>Curchorem</t>
  </si>
  <si>
    <t>Ramkrishna Dhavalikar</t>
  </si>
  <si>
    <t>Valpoi</t>
  </si>
  <si>
    <t>Vishwajit Rane</t>
  </si>
  <si>
    <t>Alina Saldanha</t>
  </si>
  <si>
    <t>Panaji</t>
  </si>
  <si>
    <t>Manohar Parrikar</t>
  </si>
  <si>
    <t>Mandrem</t>
  </si>
  <si>
    <t>Dayanand Sopte</t>
  </si>
  <si>
    <t>Mapusa</t>
  </si>
  <si>
    <t>Joshua D'Souza</t>
  </si>
  <si>
    <t>Shiroda</t>
  </si>
  <si>
    <t>Subhash Shirodkar</t>
  </si>
  <si>
    <t>DODA</t>
  </si>
  <si>
    <t>KHALID NAJEEB</t>
  </si>
  <si>
    <t>JKNC</t>
  </si>
  <si>
    <t>PLOUGH</t>
  </si>
  <si>
    <t>GENERAL</t>
  </si>
  <si>
    <t>JAMMU EAST</t>
  </si>
  <si>
    <t>ASHKO KUMAR</t>
  </si>
  <si>
    <t>LANGATE</t>
  </si>
  <si>
    <t>MOHD. SULTAN PANDIT</t>
  </si>
  <si>
    <t>INDEPENDENT</t>
  </si>
  <si>
    <t>BIJBEHERA</t>
  </si>
  <si>
    <t>ABDUL REHMAN</t>
  </si>
  <si>
    <t>PAMPORE</t>
  </si>
  <si>
    <t>ZAHOOR AHMAD MIR</t>
  </si>
  <si>
    <t>JKPDP</t>
  </si>
  <si>
    <t>INK POT &amp; PEN</t>
  </si>
  <si>
    <t>BATMALOO</t>
  </si>
  <si>
    <t>TARIQ AHMED KARA</t>
  </si>
  <si>
    <t>PAHALGAM</t>
  </si>
  <si>
    <t>MUFTI MOHAMMAD SAYEED</t>
  </si>
  <si>
    <t>BASOLHI</t>
  </si>
  <si>
    <t>KANTA ANDOTRA</t>
  </si>
  <si>
    <t>AKHNOOR</t>
  </si>
  <si>
    <t>SHAM LAL SHARMA</t>
  </si>
  <si>
    <t>POONCH(HAVELI)</t>
  </si>
  <si>
    <t>Jahangir Hussain (E)</t>
  </si>
  <si>
    <t>SONWAR</t>
  </si>
  <si>
    <t>Md.Yasin Shah</t>
  </si>
  <si>
    <t>HAZRATBAL</t>
  </si>
  <si>
    <t>S. M. kamal</t>
  </si>
  <si>
    <t>BHADERWAH</t>
  </si>
  <si>
    <t>Md.  Sharief Niaz</t>
  </si>
  <si>
    <t>ANANTNAG</t>
  </si>
  <si>
    <t>Mehbooba Mufti (E)</t>
  </si>
  <si>
    <t>Haldhar within wheel </t>
  </si>
  <si>
    <t>NAGROTA</t>
  </si>
  <si>
    <t>DEVYANI RANA</t>
  </si>
  <si>
    <t>BUDGAM</t>
  </si>
  <si>
    <t>AGA SYED MUNTAZIR MEHDI</t>
  </si>
  <si>
    <t>JAMMU</t>
  </si>
  <si>
    <t>CHOWDHARY TALIB HUSSAIN</t>
  </si>
  <si>
    <t>RAFIABAD</t>
  </si>
  <si>
    <t>Mohd. Dilawar Mir</t>
  </si>
  <si>
    <t>SANGRAMA</t>
  </si>
  <si>
    <t>SHUIB NABI</t>
  </si>
  <si>
    <t>PATTAN</t>
  </si>
  <si>
    <t>SHEIKH MUSTAFA KAMAL</t>
  </si>
  <si>
    <t>SH. GHULAM NABI AZAD</t>
  </si>
  <si>
    <t>Srinagar</t>
  </si>
  <si>
    <t>FAROOQ ABDULLAH</t>
  </si>
  <si>
    <t>Madhya Pradesh</t>
  </si>
  <si>
    <t>CHHINDWARA</t>
  </si>
  <si>
    <t>SUNDERLAL PATWA</t>
  </si>
  <si>
    <t>GUNA</t>
  </si>
  <si>
    <t>JYOTIRADITYA MADHAVRAO SCINDIA</t>
  </si>
  <si>
    <t>VIDISHA</t>
  </si>
  <si>
    <t>RAMPAL SINGH</t>
  </si>
  <si>
    <t>GWALIOR</t>
  </si>
  <si>
    <t>Yashodhara  Raje Scindhia</t>
  </si>
  <si>
    <t>SIDDHI</t>
  </si>
  <si>
    <t>Shri Manik Singh</t>
  </si>
  <si>
    <t>BETUL</t>
  </si>
  <si>
    <t>Khandelwal Hemant Vijay Kumar</t>
  </si>
  <si>
    <t>KHARGON</t>
  </si>
  <si>
    <t>Arun Suchash Chandra Yadav</t>
  </si>
  <si>
    <t>JHABUA</t>
  </si>
  <si>
    <t>Kantilal Bhuria</t>
  </si>
  <si>
    <t>SHAHDOL</t>
  </si>
  <si>
    <t>Gyan Singh Ë"</t>
  </si>
  <si>
    <t>KHANDWA</t>
  </si>
  <si>
    <t>GYANESHWAR PATIL</t>
  </si>
  <si>
    <t>J&amp;K</t>
  </si>
  <si>
    <t>Jharkhand</t>
  </si>
  <si>
    <t>Daltonganj</t>
  </si>
  <si>
    <t>Inder Singh Namdhari</t>
  </si>
  <si>
    <t>Simaria</t>
  </si>
  <si>
    <t>Ramchandra Ram - 'e'</t>
  </si>
  <si>
    <t>Sickle and Wheat</t>
  </si>
  <si>
    <t>Hatia</t>
  </si>
  <si>
    <t>N. Jaiswal (E)</t>
  </si>
  <si>
    <t>Banana</t>
  </si>
  <si>
    <t>Kharawan</t>
  </si>
  <si>
    <t>Arjun Munda</t>
  </si>
  <si>
    <t>lotus</t>
  </si>
  <si>
    <t>Mandu</t>
  </si>
  <si>
    <t>J.P.B. Patel</t>
  </si>
  <si>
    <t>Bow &amp; Arrow</t>
  </si>
  <si>
    <t>Chhattisgarh</t>
  </si>
  <si>
    <t>Alakatara</t>
  </si>
  <si>
    <t>Chatram Devagan</t>
  </si>
  <si>
    <t>Dongargaon</t>
  </si>
  <si>
    <t>Dr. Raman</t>
  </si>
  <si>
    <t>Keshkal</t>
  </si>
  <si>
    <t>Sewak Ram Netam</t>
  </si>
  <si>
    <t>Khairagarh</t>
  </si>
  <si>
    <t>Komal Janghel</t>
  </si>
  <si>
    <t>Kota</t>
  </si>
  <si>
    <t>Dr. Renu Jogi</t>
  </si>
  <si>
    <t>Malkharoda</t>
  </si>
  <si>
    <t>Nirmal Sinha</t>
  </si>
  <si>
    <t>Sanjari Balod</t>
  </si>
  <si>
    <t>Km. Madan Sahu</t>
  </si>
  <si>
    <t>Mysore</t>
  </si>
  <si>
    <t>Tiptur</t>
  </si>
  <si>
    <t>S. R. Kanthi</t>
  </si>
  <si>
    <t>Channapatna</t>
  </si>
  <si>
    <t>M. V. Krishnappa</t>
  </si>
  <si>
    <t>Kolar Gold Fields</t>
  </si>
  <si>
    <t>K. Hanumanthaiah</t>
  </si>
  <si>
    <t>Kanakapura</t>
  </si>
  <si>
    <t>H. D. Deve Gowda</t>
  </si>
  <si>
    <t>Channagiri</t>
  </si>
  <si>
    <t>J. H. Patel</t>
  </si>
  <si>
    <t>Karnataka</t>
  </si>
  <si>
    <t>Chikmagalur</t>
  </si>
  <si>
    <t>Indira Gandhi</t>
  </si>
  <si>
    <t>Hassan</t>
  </si>
  <si>
    <t>H. S. Doraiswamy</t>
  </si>
  <si>
    <t>Janata Party</t>
  </si>
  <si>
    <t>S. R. Bommai</t>
  </si>
  <si>
    <t>Aurad</t>
  </si>
  <si>
    <t>Gurupadappa Nagmarpally</t>
  </si>
  <si>
    <t>Farmer</t>
  </si>
  <si>
    <t>Hulsoor</t>
  </si>
  <si>
    <t>Mahendra Kumar Kallappa</t>
  </si>
  <si>
    <t>Bidar</t>
  </si>
  <si>
    <t>Narayan Rao</t>
  </si>
  <si>
    <t>Maddur</t>
  </si>
  <si>
    <t>D. C. Thammanna</t>
  </si>
  <si>
    <t>H. D. Revanna</t>
  </si>
  <si>
    <t>M. V. Chandrashekar</t>
  </si>
  <si>
    <t>Sira</t>
  </si>
  <si>
    <t>B. Sathyanarayana</t>
  </si>
  <si>
    <t>Veerappa Moily</t>
  </si>
  <si>
    <t>Chamundeshwari</t>
  </si>
  <si>
    <t>Siddaramaiah</t>
  </si>
  <si>
    <t>Bangalore Rural</t>
  </si>
  <si>
    <t>D. K. Suresh</t>
  </si>
  <si>
    <t>Gulbarga</t>
  </si>
  <si>
    <t>Mallikarjun Kharge</t>
  </si>
  <si>
    <t>Shikaripura</t>
  </si>
  <si>
    <t>B. S. Yeddyurappa</t>
  </si>
  <si>
    <t>C. P. Yogeshwar</t>
  </si>
  <si>
    <t>Chikkodi-Sadalga</t>
  </si>
  <si>
    <t>Ganesh Hukkeri</t>
  </si>
  <si>
    <t>Rahim Khan</t>
  </si>
  <si>
    <t>Devadurga</t>
  </si>
  <si>
    <t>K. Shivanna</t>
  </si>
  <si>
    <t>Hoskote</t>
  </si>
  <si>
    <t>Sharath Bachegowda</t>
  </si>
  <si>
    <t>KR Puram</t>
  </si>
  <si>
    <t>B. A. Basavaraj</t>
  </si>
  <si>
    <t>Yeshwanthpur</t>
  </si>
  <si>
    <t>S. T. Somashekar</t>
  </si>
  <si>
    <t>Mahalakshmi Layout</t>
  </si>
  <si>
    <t>K. Gopalaiah</t>
  </si>
  <si>
    <t>Chikballapur</t>
  </si>
  <si>
    <t>K. Sudhakar</t>
  </si>
  <si>
    <t>T. B. Jayachandra</t>
  </si>
  <si>
    <t>RR Nagar</t>
  </si>
  <si>
    <t>Munirathna</t>
  </si>
  <si>
    <t>Basavakalyan</t>
  </si>
  <si>
    <t>Sharanu Salagar</t>
  </si>
  <si>
    <t>Maski</t>
  </si>
  <si>
    <t>Basanagouda Turvihal</t>
  </si>
  <si>
    <t>Hangal</t>
  </si>
  <si>
    <t>Srinivas Mane</t>
  </si>
  <si>
    <t>Sindgi</t>
  </si>
  <si>
    <t>Ramesh Bhusanur</t>
  </si>
  <si>
    <t>Jayanagar</t>
  </si>
  <si>
    <t>Soumya Reddy</t>
  </si>
  <si>
    <t>Chincholi</t>
  </si>
  <si>
    <t>Avinash Jadhav</t>
  </si>
  <si>
    <t>Kerala</t>
  </si>
  <si>
    <t>Trivandrum I</t>
  </si>
  <si>
    <t>K. C. Abraham</t>
  </si>
  <si>
    <t>Quilon</t>
  </si>
  <si>
    <t>P. K. Vasudevan Nair</t>
  </si>
  <si>
    <t>Ears of Corn &amp; Sickle</t>
  </si>
  <si>
    <t>Tellicherry</t>
  </si>
  <si>
    <t>A. K. Gopalan</t>
  </si>
  <si>
    <t>Manjeshwar</t>
  </si>
  <si>
    <t>P. M. Aboobacker</t>
  </si>
  <si>
    <t>Ladder</t>
  </si>
  <si>
    <t>Ernakulam</t>
  </si>
  <si>
    <t>T. M. Jacob</t>
  </si>
  <si>
    <t>Punalur</t>
  </si>
  <si>
    <t>K. R. Gowri Amma</t>
  </si>
  <si>
    <t>Hammer Sickle &amp; Star</t>
  </si>
  <si>
    <t>Vaikom</t>
  </si>
  <si>
    <t>R. Balakrishna Pillai</t>
  </si>
  <si>
    <t>Kasaragod</t>
  </si>
  <si>
    <t>B. M. Abdul Rahiman</t>
  </si>
  <si>
    <t>M. V. Raghavan</t>
  </si>
  <si>
    <t>K. V. Thomas</t>
  </si>
  <si>
    <t>P. K. Kunju</t>
  </si>
  <si>
    <t>Hosdurg</t>
  </si>
  <si>
    <t>K. Gopalakrishnan</t>
  </si>
  <si>
    <t>Nileswar</t>
  </si>
  <si>
    <t>V. V. Kunhambu</t>
  </si>
  <si>
    <t>Malappuram</t>
  </si>
  <si>
    <t>E. T. Mohammed Basheer</t>
  </si>
  <si>
    <t>Chathannur</t>
  </si>
  <si>
    <t>N. Anirudhan</t>
  </si>
  <si>
    <t>Thiruvalla</t>
  </si>
  <si>
    <t>Adv. E. M. Augusthy</t>
  </si>
  <si>
    <t>Wadakkancherry</t>
  </si>
  <si>
    <t>A. C. Moideen</t>
  </si>
  <si>
    <t>Azhikode</t>
  </si>
  <si>
    <t>K. M. Shaji</t>
  </si>
  <si>
    <t>Kuthuparamba</t>
  </si>
  <si>
    <t>K. P. Mohanan</t>
  </si>
  <si>
    <t>Piravom</t>
  </si>
  <si>
    <t>Anoop Jacob</t>
  </si>
  <si>
    <t>Neyyattinkara</t>
  </si>
  <si>
    <t>R. Selvaraj</t>
  </si>
  <si>
    <t>Aruvikkara</t>
  </si>
  <si>
    <t>K. S. Sabarinadhan</t>
  </si>
  <si>
    <t>Vengara</t>
  </si>
  <si>
    <t>K. N. A. Khader</t>
  </si>
  <si>
    <t>Pala</t>
  </si>
  <si>
    <t>Mani C. Kappan</t>
  </si>
  <si>
    <t>Abdul Khader</t>
  </si>
  <si>
    <t>Shoranur</t>
  </si>
  <si>
    <t>P. S. Premachandran</t>
  </si>
  <si>
    <t>Nilambur</t>
  </si>
  <si>
    <t>P. V. Anvar</t>
  </si>
  <si>
    <t>Eranad</t>
  </si>
  <si>
    <t>Kuttanad</t>
  </si>
  <si>
    <t>Thomas K. Thomas</t>
  </si>
  <si>
    <t>Changanassery</t>
  </si>
  <si>
    <t>Jose K. Mani</t>
  </si>
  <si>
    <t>Konni</t>
  </si>
  <si>
    <t>K. U. Jenish Kumar</t>
  </si>
  <si>
    <t>A. K. M. Ashraf</t>
  </si>
  <si>
    <t>Thiruvananthapuram Central</t>
  </si>
  <si>
    <t>Antony Raju</t>
  </si>
  <si>
    <t>A Lady Farmer</t>
  </si>
  <si>
    <t>Kollam</t>
  </si>
  <si>
    <t>Mukesh</t>
  </si>
  <si>
    <t>Ettumanoor</t>
  </si>
  <si>
    <t>V. N. Vasavan</t>
  </si>
  <si>
    <t>Kanjirappally</t>
  </si>
  <si>
    <t>N. Jayaraj</t>
  </si>
  <si>
    <t>Devikulam</t>
  </si>
  <si>
    <t>A. Raja</t>
  </si>
  <si>
    <t>Mathew T. Thomas</t>
  </si>
  <si>
    <t>Xavier Chittilappilly</t>
  </si>
  <si>
    <t>Perumbavoor</t>
  </si>
  <si>
    <t>Eldhose Kunnappilly</t>
  </si>
  <si>
    <t>T. J. Vinod</t>
  </si>
  <si>
    <t>K. R. Raghavan</t>
  </si>
  <si>
    <t>Adoor</t>
  </si>
  <si>
    <t>Chittayam Gopakumar</t>
  </si>
  <si>
    <t>Pathanapuram</t>
  </si>
  <si>
    <t>K. B. Ganesh Kumar</t>
  </si>
  <si>
    <t>Rising Sun</t>
  </si>
  <si>
    <t>Tamil Nadu</t>
  </si>
  <si>
    <t>Yercaud</t>
  </si>
  <si>
    <t>K. Goundan</t>
  </si>
  <si>
    <t>Chidambaram</t>
  </si>
  <si>
    <t>P. Arasan</t>
  </si>
  <si>
    <t>D. N. Vadivel</t>
  </si>
  <si>
    <t>Pudukkottai</t>
  </si>
  <si>
    <t>Winner (ECI)</t>
  </si>
  <si>
    <t>Two Leaves</t>
  </si>
  <si>
    <t>Thiruvattar</t>
  </si>
  <si>
    <t>Natham</t>
  </si>
  <si>
    <t>Mangalore</t>
  </si>
  <si>
    <t>Gummidipundi</t>
  </si>
  <si>
    <t>Madurai Central</t>
  </si>
  <si>
    <t>Radhapuram</t>
  </si>
  <si>
    <t>S. Muthuraman</t>
  </si>
  <si>
    <t>Andipatti</t>
  </si>
  <si>
    <t>O. Panneerselvam</t>
  </si>
  <si>
    <t>Aravakurichi</t>
  </si>
  <si>
    <t>Senthil Balaji</t>
  </si>
  <si>
    <t>Thiruparankundram</t>
  </si>
  <si>
    <t>A. K. Bose</t>
  </si>
  <si>
    <t>R.K. Nagar</t>
  </si>
  <si>
    <t>T.T.V. Dhinakaran</t>
  </si>
  <si>
    <t>Pressure Cooker</t>
  </si>
  <si>
    <t>Thirumangalam</t>
  </si>
  <si>
    <t>R. B. Udhayakumar</t>
  </si>
  <si>
    <t>Vilathikulam</t>
  </si>
  <si>
    <t>Chinnappan P</t>
  </si>
  <si>
    <t>Manamadurai</t>
  </si>
  <si>
    <t>Nagarajan S</t>
  </si>
  <si>
    <t>Hosur</t>
  </si>
  <si>
    <t>Sathya S A</t>
  </si>
  <si>
    <t>Harur</t>
  </si>
  <si>
    <t>Sampathkumar V</t>
  </si>
  <si>
    <t>Gudiyattam</t>
  </si>
  <si>
    <t>Kathavarayan S</t>
  </si>
  <si>
    <t>Nilakkottai</t>
  </si>
  <si>
    <t>Thenmozhi S</t>
  </si>
  <si>
    <t>Maharajan A</t>
  </si>
  <si>
    <t>Sholingur</t>
  </si>
  <si>
    <t>G. Sampathu</t>
  </si>
  <si>
    <t>Periyakulam</t>
  </si>
  <si>
    <t>Saravanakumaar K.S.</t>
  </si>
  <si>
    <t>Sulur</t>
  </si>
  <si>
    <t>Kandhasamy P</t>
  </si>
  <si>
    <t>Perambur</t>
  </si>
  <si>
    <t>R. D. Shekar</t>
  </si>
  <si>
    <t>Paramakudi</t>
  </si>
  <si>
    <t>Sathan Prabhakar N</t>
  </si>
  <si>
    <t>Thanjavur</t>
  </si>
  <si>
    <t>T. K. G. Neelamegam</t>
  </si>
  <si>
    <t>Thiruvarur</t>
  </si>
  <si>
    <t>Kalaivanan P.K.</t>
  </si>
  <si>
    <t>Nanguneri</t>
  </si>
  <si>
    <t>V. Narayanan</t>
  </si>
  <si>
    <t>Thiruporur</t>
  </si>
  <si>
    <t>Idhayavarman L</t>
  </si>
  <si>
    <t>Poonamallee</t>
  </si>
  <si>
    <t>Krishnaswamy A</t>
  </si>
  <si>
    <t>Sattur</t>
  </si>
  <si>
    <t>Rajavarman M.S.R</t>
  </si>
  <si>
    <t>Erode (East)</t>
  </si>
  <si>
    <t>E.V.K.S. Elangovan</t>
  </si>
  <si>
    <t>Vikravandi</t>
  </si>
  <si>
    <t>Anniyur Siva</t>
  </si>
  <si>
    <t>Vilavancode</t>
  </si>
  <si>
    <t>Vijayadharani S</t>
  </si>
  <si>
    <t>Chandhirakumar V.C</t>
  </si>
  <si>
    <t>Odisha</t>
  </si>
  <si>
    <t>Aska</t>
  </si>
  <si>
    <t>Chandbali</t>
  </si>
  <si>
    <t>Bissam Cuttack</t>
  </si>
  <si>
    <t>Kabisuryanagar</t>
  </si>
  <si>
    <t>Bijepur</t>
  </si>
  <si>
    <t>Naveen Patnaik</t>
  </si>
  <si>
    <t>Conch</t>
  </si>
  <si>
    <t>Patkura</t>
  </si>
  <si>
    <t>Sabitri Agarwalla</t>
  </si>
  <si>
    <t>Tirtol</t>
  </si>
  <si>
    <t>Bijay Shankar Das</t>
  </si>
  <si>
    <t>Pipili</t>
  </si>
  <si>
    <t>Rudra Pratap Maharathy</t>
  </si>
  <si>
    <t>Dhamnagar</t>
  </si>
  <si>
    <t>Suryabanshi Suraj</t>
  </si>
  <si>
    <t>Brajarajnagar</t>
  </si>
  <si>
    <t>Alaka Mohanty</t>
  </si>
  <si>
    <t>Jharsuguda</t>
  </si>
  <si>
    <t>Deepali Das</t>
  </si>
  <si>
    <t>Rajasthan</t>
  </si>
  <si>
    <t>Jaipur</t>
  </si>
  <si>
    <t>Jai Narayan</t>
  </si>
  <si>
    <t>Bullock</t>
  </si>
  <si>
    <t>Alwar</t>
  </si>
  <si>
    <t>Bhim Singh</t>
  </si>
  <si>
    <t>Ajmer</t>
  </si>
  <si>
    <t>Tika Ram</t>
  </si>
  <si>
    <t>Bikaner</t>
  </si>
  <si>
    <t>Kalyan Singh</t>
  </si>
  <si>
    <t>Swatantra Party</t>
  </si>
  <si>
    <t>Elephant</t>
  </si>
  <si>
    <t>Udaipur</t>
  </si>
  <si>
    <t>Mohan Lal</t>
  </si>
  <si>
    <t>Bhairon Singh</t>
  </si>
  <si>
    <t>Plough</t>
  </si>
  <si>
    <t>Jodhpur</t>
  </si>
  <si>
    <t>Ashok Gehlot</t>
  </si>
  <si>
    <t>Sikar</t>
  </si>
  <si>
    <t>Dev Singh</t>
  </si>
  <si>
    <t>Jaswant Singh</t>
  </si>
  <si>
    <t>Pratap Singh</t>
  </si>
  <si>
    <t>Mohan Singh</t>
  </si>
  <si>
    <t>Sajjan Singh</t>
  </si>
  <si>
    <t>Chandresh Kumari</t>
  </si>
  <si>
    <t>Raghu Sharma</t>
  </si>
  <si>
    <t>Bhilwara</t>
  </si>
  <si>
    <t>Subhash Bahedia</t>
  </si>
  <si>
    <t>Banswara</t>
  </si>
  <si>
    <t>Baran</t>
  </si>
  <si>
    <t>Surya Prakash</t>
  </si>
  <si>
    <t>Jaisalmer</t>
  </si>
  <si>
    <t>Chandra Singh</t>
  </si>
  <si>
    <t>Laxmi Kumar</t>
  </si>
  <si>
    <t>Narayan Singh</t>
  </si>
  <si>
    <t>Nim Ka Thana</t>
  </si>
  <si>
    <t>Kailash Singh</t>
  </si>
  <si>
    <t>Kishangarh</t>
  </si>
  <si>
    <t>Vijay Singh</t>
  </si>
  <si>
    <t>Badi</t>
  </si>
  <si>
    <t>Babu Lal</t>
  </si>
  <si>
    <t>Bagru</t>
  </si>
  <si>
    <t>Gopal Singh</t>
  </si>
  <si>
    <t>Salumber</t>
  </si>
  <si>
    <t>Amrit Lal</t>
  </si>
  <si>
    <t>Weir</t>
  </si>
  <si>
    <t>Shanker Singh</t>
  </si>
  <si>
    <t>Sadulpur</t>
  </si>
  <si>
    <t>Maneka</t>
  </si>
  <si>
    <t>Jhunjhunu</t>
  </si>
  <si>
    <t>Brijendra Singh</t>
  </si>
  <si>
    <t>Nasirabad</t>
  </si>
  <si>
    <t>Churu</t>
  </si>
  <si>
    <t>Rahul Kaswan</t>
  </si>
  <si>
    <t>Surajgarh</t>
  </si>
  <si>
    <t>Kotma</t>
  </si>
  <si>
    <t>Ramesh Chand</t>
  </si>
  <si>
    <t>Dholpur</t>
  </si>
  <si>
    <t>Shobha Rani</t>
  </si>
  <si>
    <t>Mandalgarh</t>
  </si>
  <si>
    <t>Vivek Dhakad</t>
  </si>
  <si>
    <t>Vishvendra Singh</t>
  </si>
  <si>
    <t>Karan Singh Yadav</t>
  </si>
  <si>
    <t>Khandesh</t>
  </si>
  <si>
    <t>Rameshwar</t>
  </si>
  <si>
    <t>Nagaur</t>
  </si>
  <si>
    <t>Hanuman Beniwal</t>
  </si>
  <si>
    <t>Rashtriya Loktantrik Party</t>
  </si>
  <si>
    <t>Vidhan Sabha</t>
  </si>
  <si>
    <t>Mahesh Joshi</t>
  </si>
  <si>
    <t>Sagwara</t>
  </si>
  <si>
    <t>Dr. Manish Kumar</t>
  </si>
  <si>
    <t>Telangana</t>
  </si>
  <si>
    <t>Narayankhed</t>
  </si>
  <si>
    <t>Bhupal Reddy</t>
  </si>
  <si>
    <t>Telangana Rashtra Samithi</t>
  </si>
  <si>
    <t>Palair</t>
  </si>
  <si>
    <t>Thummala Nageswara Rao</t>
  </si>
  <si>
    <t>Huzurnagar</t>
  </si>
  <si>
    <t>Shanampudi Saidi Reddy</t>
  </si>
  <si>
    <t>Dubbak</t>
  </si>
  <si>
    <t>Madhavaneni Raghunandan Rao</t>
  </si>
  <si>
    <t>Nagarjuna Sagar</t>
  </si>
  <si>
    <t>Nomula Bhagath</t>
  </si>
  <si>
    <t>Eatala Rajender</t>
  </si>
  <si>
    <t>Munugode</t>
  </si>
  <si>
    <t>Kusukuntla Prabhakar Reddy</t>
  </si>
  <si>
    <t>Uttarakhand</t>
  </si>
  <si>
    <t>Kapkot</t>
  </si>
  <si>
    <t>Baleshwar Tyagi</t>
  </si>
  <si>
    <t>Gangolihat</t>
  </si>
  <si>
    <t>Joga Ram Tamta</t>
  </si>
  <si>
    <t>Someshwar</t>
  </si>
  <si>
    <t>Ajay Tamta</t>
  </si>
  <si>
    <t>Doiwala</t>
  </si>
  <si>
    <t>Hira Singh Bisht</t>
  </si>
  <si>
    <t>Dharchula</t>
  </si>
  <si>
    <t>Harish Dhami</t>
  </si>
  <si>
    <t>Badrinath</t>
  </si>
  <si>
    <t>Rajendra Singh Bhandari</t>
  </si>
  <si>
    <t>Tharali</t>
  </si>
  <si>
    <t>Munni Devi Shah</t>
  </si>
  <si>
    <t>Salt</t>
  </si>
  <si>
    <t>Mahesh Jeena</t>
  </si>
  <si>
    <t>Bageshwar</t>
  </si>
  <si>
    <t>Parvati Das</t>
  </si>
  <si>
    <t>West Bengal</t>
  </si>
  <si>
    <t>Calcutta South East</t>
  </si>
  <si>
    <t>Atindra Nath Bose</t>
  </si>
  <si>
    <t>Cycle</t>
  </si>
  <si>
    <t>Joynagar</t>
  </si>
  <si>
    <t>Nirad Kumar Saha</t>
  </si>
  <si>
    <t>Rashbehari Avenue</t>
  </si>
  <si>
    <t>Ashok Kumar Kundu</t>
  </si>
  <si>
    <t>Bowbazar</t>
  </si>
  <si>
    <t>Ajit Kumar Panja</t>
  </si>
  <si>
    <t>Vidyasagar</t>
  </si>
  <si>
    <t>Lakshmi Kanta Dey</t>
  </si>
  <si>
    <t>Hammer Sickle</t>
  </si>
  <si>
    <t>Belgachia East</t>
  </si>
  <si>
    <t>Sujit Bose</t>
  </si>
  <si>
    <t>Basirhat North</t>
  </si>
  <si>
    <t>Rafikul Islam Mondal</t>
  </si>
  <si>
    <t>Basirhat South</t>
  </si>
  <si>
    <t>Shamik Bhattacharya</t>
  </si>
  <si>
    <t>Monteswar</t>
  </si>
  <si>
    <t>Saikat Panja</t>
  </si>
  <si>
    <t>Noapara</t>
  </si>
  <si>
    <t>Sunil Singh</t>
  </si>
  <si>
    <t>Islampur</t>
  </si>
  <si>
    <t>Abdul Karim Chowdhary</t>
  </si>
  <si>
    <t>Bhabanipur</t>
  </si>
  <si>
    <t>Mamata Banerjee</t>
  </si>
  <si>
    <t>Ballygunge</t>
  </si>
  <si>
    <t>Babul Supriyo</t>
  </si>
  <si>
    <t>Sagardighi</t>
  </si>
  <si>
    <t>Bayron Biswas</t>
  </si>
  <si>
    <t>Baranagar</t>
  </si>
  <si>
    <t>Sayantika Banerjee</t>
  </si>
  <si>
    <t>null</t>
  </si>
  <si>
    <t>Manipur People’s Party</t>
  </si>
  <si>
    <t>Nagaland Nationalist Organisation</t>
  </si>
  <si>
    <t>Naga People's Front</t>
  </si>
  <si>
    <t>Nationalist Democratic Progressive Party</t>
  </si>
  <si>
    <t>Telugu Desam Party</t>
  </si>
  <si>
    <t>NTRTelugu Desam Party(LP)</t>
  </si>
  <si>
    <t>Communist Party of India (Marxist)</t>
  </si>
  <si>
    <t>Communist Party of India(M)</t>
  </si>
  <si>
    <t>Bharat Rashtra Samithi (Formerly Telangana Rashtra Samithi)</t>
  </si>
  <si>
    <t>YSR Congress Party</t>
  </si>
  <si>
    <t>People's Party of Arunachal</t>
  </si>
  <si>
    <t>Nationalist Congress Party</t>
  </si>
  <si>
    <t>All India Trinamool Congress</t>
  </si>
  <si>
    <t>Communist Party of India</t>
  </si>
  <si>
    <t>National People's Party</t>
  </si>
  <si>
    <t>United Democratic Party</t>
  </si>
  <si>
    <t>Maharashtrawadi Gomantak Party</t>
  </si>
  <si>
    <t>United Goans Party</t>
  </si>
  <si>
    <t>Jammu and Kashmir National Conference</t>
  </si>
  <si>
    <t>Jammu and Kashmir Peoples Democratic Party</t>
  </si>
  <si>
    <t>Janata Party (Democratic)</t>
  </si>
  <si>
    <t>All Jharkhand Students Union</t>
  </si>
  <si>
    <t>Jharkhand Mukti Morcha</t>
  </si>
  <si>
    <t>Janata Dal (Secular)</t>
  </si>
  <si>
    <t>Indian Union Muslim League</t>
  </si>
  <si>
    <t>Communist Marxist Party</t>
  </si>
  <si>
    <t>Kerala Congress (Jacob)</t>
  </si>
  <si>
    <t>Kerala Congress (M)</t>
  </si>
  <si>
    <t>Kerala Congress (B)</t>
  </si>
  <si>
    <t>All India Anna Dravida Munnetra Kazhagam</t>
  </si>
  <si>
    <t>Dravida Munnetra Kazhagam</t>
  </si>
  <si>
    <t>Amma Makkal Munnettra Kazhagam</t>
  </si>
  <si>
    <t>Biju Janata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</si>
</sst>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indexed="8"/>
      <name val="Calibri"/>
      <charset val="134"/>
    </font>
    <font>
      <sz val="11"/>
      <color indexed="8"/>
      <name val="Aptos Narrow"/>
      <charset val="134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39">
    <xf numFmtId="0" fontId="0" fillId="0" borderId="0" xfId="0"/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/>
    <xf numFmtId="3" fontId="0" fillId="0" borderId="0" xfId="0" applyNumberFormat="1"/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  <xf numFmtId="3" fontId="18" fillId="0" borderId="0" xfId="0" applyNumberFormat="1" applyFont="1" applyAlignment="1">
      <alignment horizontal="right" wrapText="1"/>
    </xf>
    <xf numFmtId="3" fontId="18" fillId="0" borderId="0" xfId="0" applyNumberFormat="1" applyFont="1" applyAlignment="1">
      <alignment wrapText="1"/>
    </xf>
    <xf numFmtId="0" fontId="18" fillId="0" borderId="0" xfId="0" applyFont="1" applyAlignment="1">
      <alignment vertical="center"/>
    </xf>
    <xf numFmtId="0" fontId="18" fillId="0" borderId="0" xfId="0" applyFont="1"/>
    <xf numFmtId="3" fontId="18" fillId="0" borderId="0" xfId="0" applyNumberFormat="1" applyFont="1"/>
    <xf numFmtId="0" fontId="18" fillId="0" borderId="0" xfId="0" applyFont="1" applyAlignment="1">
      <alignment wrapText="1"/>
    </xf>
    <xf numFmtId="0" fontId="18" fillId="0" borderId="0" xfId="0" applyFont="1" applyAlignment="1">
      <alignment horizontal="right" wrapText="1"/>
    </xf>
    <xf numFmtId="3" fontId="18" fillId="0" borderId="0" xfId="0" applyNumberFormat="1" applyFont="1" applyAlignment="1">
      <alignment horizontal="right" wrapText="1"/>
    </xf>
    <xf numFmtId="10" fontId="18" fillId="0" borderId="0" xfId="0" applyNumberFormat="1" applyFont="1" applyAlignment="1">
      <alignment horizontal="right" wrapText="1"/>
    </xf>
    <xf numFmtId="3" fontId="18" fillId="0" borderId="0" xfId="0" applyNumberFormat="1" applyFont="1" applyAlignment="1">
      <alignment wrapText="1"/>
    </xf>
    <xf numFmtId="3" fontId="18" fillId="0" borderId="0" xfId="42" applyNumberFormat="1" applyFont="1"/>
    <xf numFmtId="0" fontId="0" fillId="0" borderId="0" xfId="0" applyFont="1"/>
    <xf numFmtId="0" fontId="18" fillId="0" borderId="0" xfId="42" applyFont="1"/>
    <xf numFmtId="0" fontId="0" fillId="0" borderId="0" xfId="0"/>
    <xf numFmtId="10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10" fontId="0" fillId="0" borderId="0" xfId="0" applyNumberFormat="1"/>
    <xf numFmtId="0" fontId="0" fillId="0" borderId="0" xfId="0"/>
    <xf numFmtId="0" fontId="20" fillId="0" borderId="0" xfId="0" applyNumberFormat="1" applyFont="1" applyFill="1" applyBorder="1" applyAlignment="1" applyProtection="1"/>
    <xf numFmtId="0" fontId="21" fillId="0" borderId="0" xfId="0" applyNumberFormat="1" applyFont="1" applyFill="1" applyBorder="1" applyAlignment="1" applyProtection="1"/>
    <xf numFmtId="0" fontId="0" fillId="0" borderId="0" xfId="0"/>
    <xf numFmtId="0" fontId="0" fillId="0" borderId="0" xfId="0"/>
    <xf numFmtId="0" fontId="0" fillId="0" borderId="0" xfId="0"/>
    <xf numFmtId="0" fontId="22" fillId="0" borderId="0" xfId="0" applyNumberFormat="1" applyFont="1" applyFill="1" applyBorder="1" applyAlignment="1" applyProtection="1"/>
    <xf numFmtId="0" fontId="23" fillId="0" borderId="0" xfId="0" applyNumberFormat="1" applyFont="1" applyFill="1" applyBorder="1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066FDC5-389C-4D1A-8DBD-7584FDAEE0C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diavotes.com/ac/byeDetail/27" TargetMode="External"/><Relationship Id="rId13" Type="http://schemas.openxmlformats.org/officeDocument/2006/relationships/hyperlink" Target="https://www.indiavotes.com/ac/byeDetail/164" TargetMode="External"/><Relationship Id="rId3" Type="http://schemas.openxmlformats.org/officeDocument/2006/relationships/hyperlink" Target="https://www.indiavotes.com/ac/byeDetail/31" TargetMode="External"/><Relationship Id="rId7" Type="http://schemas.openxmlformats.org/officeDocument/2006/relationships/hyperlink" Target="https://www.indiavotes.com/ac/byeDetail/1" TargetMode="External"/><Relationship Id="rId12" Type="http://schemas.openxmlformats.org/officeDocument/2006/relationships/hyperlink" Target="https://www.indiavotes.com/ac/byeDetail/117" TargetMode="External"/><Relationship Id="rId2" Type="http://schemas.openxmlformats.org/officeDocument/2006/relationships/hyperlink" Target="https://www.indiavotes.com/ac/byeDetail/128" TargetMode="External"/><Relationship Id="rId1" Type="http://schemas.openxmlformats.org/officeDocument/2006/relationships/hyperlink" Target="https://www.indiavotes.com/ac/byeDetail/120" TargetMode="External"/><Relationship Id="rId6" Type="http://schemas.openxmlformats.org/officeDocument/2006/relationships/hyperlink" Target="https://www.indiavotes.com/ac/byeDetail/31" TargetMode="External"/><Relationship Id="rId11" Type="http://schemas.openxmlformats.org/officeDocument/2006/relationships/hyperlink" Target="https://www.indiavotes.com/ac/byeDetail/131" TargetMode="External"/><Relationship Id="rId5" Type="http://schemas.openxmlformats.org/officeDocument/2006/relationships/hyperlink" Target="https://www.indiavotes.com/ac/byeDetail/27" TargetMode="External"/><Relationship Id="rId15" Type="http://schemas.openxmlformats.org/officeDocument/2006/relationships/hyperlink" Target="https://www.indiavotes.com/ac/byeDetail/2" TargetMode="External"/><Relationship Id="rId10" Type="http://schemas.openxmlformats.org/officeDocument/2006/relationships/hyperlink" Target="https://www.indiavotes.com/ac/byeDetail/232" TargetMode="External"/><Relationship Id="rId4" Type="http://schemas.openxmlformats.org/officeDocument/2006/relationships/hyperlink" Target="https://www.indiavotes.com/ac/byeDetail/1" TargetMode="External"/><Relationship Id="rId9" Type="http://schemas.openxmlformats.org/officeDocument/2006/relationships/hyperlink" Target="https://www.indiavotes.com/ac/byeDetail/233" TargetMode="External"/><Relationship Id="rId14" Type="http://schemas.openxmlformats.org/officeDocument/2006/relationships/hyperlink" Target="https://www.indiavotes.com/ac/byeDetail/1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9FBD-1255-438B-BBF8-F10A4507AE4D}">
  <dimension ref="A1:N511"/>
  <sheetViews>
    <sheetView tabSelected="1" topLeftCell="A394" workbookViewId="0">
      <selection activeCell="N514" sqref="N514"/>
    </sheetView>
  </sheetViews>
  <sheetFormatPr defaultRowHeight="14.4"/>
  <cols>
    <col min="5" max="5" width="23" customWidth="1"/>
    <col min="7" max="7" width="23.44140625" customWidth="1"/>
    <col min="8" max="8" width="16.21875" customWidth="1"/>
  </cols>
  <sheetData>
    <row r="1" spans="1:13" ht="43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8" t="s">
        <v>5</v>
      </c>
      <c r="G1" s="38" t="s">
        <v>6</v>
      </c>
      <c r="H1" s="3" t="s">
        <v>7</v>
      </c>
      <c r="I1" s="3" t="s">
        <v>8</v>
      </c>
      <c r="J1" s="3" t="s">
        <v>9</v>
      </c>
      <c r="K1" s="38" t="s">
        <v>10</v>
      </c>
      <c r="L1" s="38" t="s">
        <v>11</v>
      </c>
      <c r="M1" s="3" t="s">
        <v>12</v>
      </c>
    </row>
    <row r="2" spans="1:13">
      <c r="A2">
        <v>1978</v>
      </c>
      <c r="B2" t="s">
        <v>13</v>
      </c>
      <c r="C2" t="s">
        <v>14</v>
      </c>
      <c r="D2">
        <v>2</v>
      </c>
      <c r="E2" t="s">
        <v>15</v>
      </c>
      <c r="F2" s="37" t="s">
        <v>174</v>
      </c>
      <c r="G2" s="37" t="s">
        <v>409</v>
      </c>
      <c r="H2" t="s">
        <v>18</v>
      </c>
      <c r="I2">
        <v>19576</v>
      </c>
      <c r="J2">
        <v>1269</v>
      </c>
      <c r="K2" s="37">
        <v>0.1091</v>
      </c>
      <c r="L2" s="37" t="s">
        <v>19</v>
      </c>
      <c r="M2">
        <v>11631</v>
      </c>
    </row>
    <row r="3" spans="1:13">
      <c r="A3">
        <v>1981</v>
      </c>
      <c r="B3" t="s">
        <v>13</v>
      </c>
      <c r="C3" t="s">
        <v>20</v>
      </c>
      <c r="D3">
        <v>53</v>
      </c>
      <c r="E3" t="s">
        <v>21</v>
      </c>
      <c r="F3" s="37" t="s">
        <v>174</v>
      </c>
      <c r="G3" s="37" t="s">
        <v>409</v>
      </c>
      <c r="H3" t="s">
        <v>18</v>
      </c>
      <c r="I3">
        <v>14800</v>
      </c>
      <c r="J3">
        <v>415</v>
      </c>
      <c r="K3" s="37">
        <v>4.1500000000000002E-2</v>
      </c>
      <c r="L3" s="37" t="s">
        <v>22</v>
      </c>
      <c r="M3">
        <v>10011</v>
      </c>
    </row>
    <row r="4" spans="1:13">
      <c r="A4">
        <v>1991</v>
      </c>
      <c r="B4" t="s">
        <v>13</v>
      </c>
      <c r="C4" t="s">
        <v>23</v>
      </c>
      <c r="D4">
        <v>13</v>
      </c>
      <c r="E4" t="s">
        <v>24</v>
      </c>
      <c r="F4" s="37" t="s">
        <v>174</v>
      </c>
      <c r="G4" s="37" t="s">
        <v>181</v>
      </c>
      <c r="H4" t="s">
        <v>26</v>
      </c>
      <c r="I4">
        <v>12561</v>
      </c>
      <c r="J4">
        <v>1348</v>
      </c>
      <c r="K4" s="37">
        <v>0.1036</v>
      </c>
      <c r="L4" s="37" t="s">
        <v>19</v>
      </c>
      <c r="M4">
        <v>13014</v>
      </c>
    </row>
    <row r="5" spans="1:13">
      <c r="A5">
        <v>1991</v>
      </c>
      <c r="B5" t="s">
        <v>13</v>
      </c>
      <c r="C5" t="s">
        <v>27</v>
      </c>
      <c r="D5">
        <v>25</v>
      </c>
      <c r="E5" t="s">
        <v>28</v>
      </c>
      <c r="F5" s="37" t="s">
        <v>178</v>
      </c>
      <c r="G5" s="37" t="s">
        <v>181</v>
      </c>
      <c r="H5" t="s">
        <v>26</v>
      </c>
      <c r="I5">
        <v>15531</v>
      </c>
      <c r="J5">
        <v>1621</v>
      </c>
      <c r="K5" s="37">
        <v>0.19539999999999999</v>
      </c>
      <c r="L5" s="37" t="s">
        <v>19</v>
      </c>
      <c r="M5">
        <v>15755</v>
      </c>
    </row>
    <row r="6" spans="1:13">
      <c r="A6">
        <v>1995</v>
      </c>
      <c r="B6" t="s">
        <v>13</v>
      </c>
      <c r="C6" t="s">
        <v>30</v>
      </c>
      <c r="D6">
        <v>1</v>
      </c>
      <c r="E6" t="s">
        <v>31</v>
      </c>
      <c r="F6" s="37" t="s">
        <v>174</v>
      </c>
      <c r="G6" s="37" t="s">
        <v>1113</v>
      </c>
      <c r="H6" t="s">
        <v>32</v>
      </c>
      <c r="I6">
        <v>18146</v>
      </c>
      <c r="J6">
        <v>3099</v>
      </c>
      <c r="K6" s="37">
        <v>0.40610000000000002</v>
      </c>
      <c r="L6" s="37" t="s">
        <v>19</v>
      </c>
      <c r="M6">
        <v>15857</v>
      </c>
    </row>
    <row r="7" spans="1:13">
      <c r="A7">
        <v>2017</v>
      </c>
      <c r="B7" t="s">
        <v>13</v>
      </c>
      <c r="C7" t="s">
        <v>33</v>
      </c>
      <c r="D7">
        <v>46</v>
      </c>
      <c r="E7" t="s">
        <v>34</v>
      </c>
      <c r="F7" s="37" t="s">
        <v>174</v>
      </c>
      <c r="G7" s="37" t="s">
        <v>181</v>
      </c>
      <c r="H7" t="s">
        <v>26</v>
      </c>
      <c r="I7">
        <v>36750</v>
      </c>
      <c r="J7">
        <v>3261</v>
      </c>
      <c r="K7" s="37">
        <v>0.35799999999999998</v>
      </c>
      <c r="L7" s="37" t="s">
        <v>22</v>
      </c>
      <c r="M7">
        <v>32596</v>
      </c>
    </row>
    <row r="8" spans="1:13">
      <c r="A8">
        <v>2017</v>
      </c>
      <c r="B8" t="s">
        <v>13</v>
      </c>
      <c r="C8" t="s">
        <v>35</v>
      </c>
      <c r="D8">
        <v>60</v>
      </c>
      <c r="E8" t="s">
        <v>36</v>
      </c>
      <c r="F8" s="37" t="s">
        <v>174</v>
      </c>
      <c r="G8" s="37" t="s">
        <v>181</v>
      </c>
      <c r="H8" t="s">
        <v>26</v>
      </c>
      <c r="I8">
        <v>26081</v>
      </c>
      <c r="J8">
        <v>1162</v>
      </c>
      <c r="K8" s="37">
        <v>0.52700000000000002</v>
      </c>
      <c r="L8" s="37" t="s">
        <v>22</v>
      </c>
      <c r="M8">
        <v>21577</v>
      </c>
    </row>
    <row r="9" spans="1:13">
      <c r="A9">
        <v>2017</v>
      </c>
      <c r="B9" t="s">
        <v>13</v>
      </c>
      <c r="C9" t="s">
        <v>20</v>
      </c>
      <c r="D9">
        <v>53</v>
      </c>
      <c r="E9" t="s">
        <v>37</v>
      </c>
      <c r="F9" s="37" t="s">
        <v>174</v>
      </c>
      <c r="G9" s="37" t="s">
        <v>502</v>
      </c>
      <c r="H9" t="s">
        <v>39</v>
      </c>
      <c r="I9">
        <v>31525</v>
      </c>
      <c r="J9">
        <v>2004</v>
      </c>
      <c r="K9" s="37">
        <v>0.54400000000000004</v>
      </c>
      <c r="L9" s="37" t="s">
        <v>22</v>
      </c>
      <c r="M9">
        <v>24037</v>
      </c>
    </row>
    <row r="10" spans="1:13">
      <c r="A10">
        <v>2017</v>
      </c>
      <c r="B10" t="s">
        <v>13</v>
      </c>
      <c r="C10" t="s">
        <v>27</v>
      </c>
      <c r="D10">
        <v>25</v>
      </c>
      <c r="E10" t="s">
        <v>40</v>
      </c>
      <c r="F10" s="37" t="s">
        <v>174</v>
      </c>
      <c r="G10" s="37" t="s">
        <v>502</v>
      </c>
      <c r="H10" t="s">
        <v>39</v>
      </c>
      <c r="I10">
        <v>28103</v>
      </c>
      <c r="J10">
        <v>843</v>
      </c>
      <c r="K10" s="37">
        <v>0.49070000000000003</v>
      </c>
      <c r="L10" s="37" t="s">
        <v>19</v>
      </c>
      <c r="M10">
        <v>24514</v>
      </c>
    </row>
    <row r="11" spans="1:13">
      <c r="A11">
        <v>2020</v>
      </c>
      <c r="B11" t="s">
        <v>13</v>
      </c>
      <c r="C11" t="s">
        <v>41</v>
      </c>
      <c r="D11">
        <v>22</v>
      </c>
      <c r="E11" t="s">
        <v>42</v>
      </c>
      <c r="F11" s="37" t="s">
        <v>174</v>
      </c>
      <c r="G11" s="37" t="s">
        <v>502</v>
      </c>
      <c r="H11" t="s">
        <v>39</v>
      </c>
      <c r="I11">
        <v>28828</v>
      </c>
      <c r="J11">
        <v>257</v>
      </c>
      <c r="K11" s="37">
        <v>0.40210000000000001</v>
      </c>
      <c r="L11" s="37" t="s">
        <v>19</v>
      </c>
      <c r="M11">
        <v>27254</v>
      </c>
    </row>
    <row r="12" spans="1:13">
      <c r="A12">
        <v>2020</v>
      </c>
      <c r="B12" t="s">
        <v>13</v>
      </c>
      <c r="C12" t="s">
        <v>43</v>
      </c>
      <c r="D12">
        <v>30</v>
      </c>
      <c r="E12" t="s">
        <v>44</v>
      </c>
      <c r="F12" s="37" t="s">
        <v>174</v>
      </c>
      <c r="G12" s="37" t="s">
        <v>409</v>
      </c>
      <c r="H12" t="s">
        <v>18</v>
      </c>
      <c r="I12">
        <v>32398</v>
      </c>
      <c r="J12">
        <v>3078</v>
      </c>
      <c r="K12" s="37">
        <v>0.51049999999999995</v>
      </c>
      <c r="L12" s="37" t="s">
        <v>19</v>
      </c>
      <c r="M12">
        <v>29567</v>
      </c>
    </row>
    <row r="13" spans="1:13">
      <c r="A13">
        <v>2020</v>
      </c>
      <c r="B13" t="s">
        <v>13</v>
      </c>
      <c r="C13" t="s">
        <v>45</v>
      </c>
      <c r="D13">
        <v>34</v>
      </c>
      <c r="E13" t="s">
        <v>46</v>
      </c>
      <c r="F13" s="37" t="s">
        <v>174</v>
      </c>
      <c r="G13" s="37" t="s">
        <v>502</v>
      </c>
      <c r="H13" t="s">
        <v>39</v>
      </c>
      <c r="I13">
        <v>33398</v>
      </c>
      <c r="J13">
        <v>1513</v>
      </c>
      <c r="K13" s="37">
        <v>0.52010000000000001</v>
      </c>
      <c r="L13" s="37" t="s">
        <v>19</v>
      </c>
      <c r="M13">
        <v>29460</v>
      </c>
    </row>
    <row r="14" spans="1:13">
      <c r="A14">
        <v>2020</v>
      </c>
      <c r="B14" t="s">
        <v>13</v>
      </c>
      <c r="C14" t="s">
        <v>47</v>
      </c>
      <c r="D14">
        <v>51</v>
      </c>
      <c r="E14" t="s">
        <v>48</v>
      </c>
      <c r="F14" s="37" t="s">
        <v>174</v>
      </c>
      <c r="G14" s="37" t="s">
        <v>502</v>
      </c>
      <c r="H14" t="s">
        <v>39</v>
      </c>
      <c r="I14">
        <v>40210</v>
      </c>
      <c r="J14">
        <v>12257</v>
      </c>
      <c r="K14" s="37">
        <v>0.73080000000000001</v>
      </c>
      <c r="L14" s="37" t="s">
        <v>22</v>
      </c>
      <c r="M14">
        <v>36375</v>
      </c>
    </row>
    <row r="15" spans="1:13">
      <c r="A15">
        <v>2020</v>
      </c>
      <c r="B15" t="s">
        <v>13</v>
      </c>
      <c r="C15" t="s">
        <v>35</v>
      </c>
      <c r="D15">
        <v>60</v>
      </c>
      <c r="E15" t="s">
        <v>49</v>
      </c>
      <c r="F15" s="37" t="s">
        <v>174</v>
      </c>
      <c r="G15" s="37" t="s">
        <v>502</v>
      </c>
      <c r="H15" t="s">
        <v>39</v>
      </c>
      <c r="I15">
        <v>27995</v>
      </c>
      <c r="J15">
        <v>9894</v>
      </c>
      <c r="K15" s="37">
        <v>0.7802</v>
      </c>
      <c r="L15" s="37" t="s">
        <v>22</v>
      </c>
      <c r="M15">
        <v>45200</v>
      </c>
    </row>
    <row r="16" spans="1:13">
      <c r="A16">
        <v>2022</v>
      </c>
      <c r="B16" t="s">
        <v>13</v>
      </c>
      <c r="C16" t="s">
        <v>50</v>
      </c>
      <c r="D16">
        <v>5</v>
      </c>
      <c r="E16" t="s">
        <v>51</v>
      </c>
      <c r="F16" s="37" t="s">
        <v>174</v>
      </c>
      <c r="G16" s="37" t="s">
        <v>502</v>
      </c>
      <c r="H16" t="s">
        <v>39</v>
      </c>
      <c r="I16">
        <v>31987</v>
      </c>
      <c r="J16">
        <v>6719</v>
      </c>
      <c r="K16" s="37">
        <v>0.52200000000000002</v>
      </c>
      <c r="L16" s="37" t="s">
        <v>19</v>
      </c>
      <c r="M16">
        <v>29481</v>
      </c>
    </row>
    <row r="17" spans="1:13">
      <c r="A17">
        <v>2022</v>
      </c>
      <c r="B17" t="s">
        <v>13</v>
      </c>
      <c r="C17" t="s">
        <v>52</v>
      </c>
      <c r="D17">
        <v>12</v>
      </c>
      <c r="E17" t="s">
        <v>53</v>
      </c>
      <c r="F17" s="37" t="s">
        <v>174</v>
      </c>
      <c r="G17" s="37" t="s">
        <v>409</v>
      </c>
      <c r="H17" t="s">
        <v>18</v>
      </c>
      <c r="I17">
        <v>26163</v>
      </c>
      <c r="J17">
        <v>187</v>
      </c>
      <c r="K17" s="37">
        <v>0.34599999999999997</v>
      </c>
      <c r="L17" s="37" t="s">
        <v>19</v>
      </c>
      <c r="M17">
        <v>24015</v>
      </c>
    </row>
    <row r="18" spans="1:13">
      <c r="A18">
        <v>1971</v>
      </c>
      <c r="B18" t="s">
        <v>54</v>
      </c>
      <c r="C18" t="s">
        <v>55</v>
      </c>
      <c r="D18">
        <v>5</v>
      </c>
      <c r="E18" t="s">
        <v>56</v>
      </c>
      <c r="F18" s="37" t="s">
        <v>174</v>
      </c>
      <c r="G18" s="37" t="s">
        <v>1114</v>
      </c>
      <c r="H18" t="s">
        <v>57</v>
      </c>
      <c r="I18">
        <v>4850</v>
      </c>
      <c r="J18">
        <v>223</v>
      </c>
      <c r="K18" s="37">
        <v>0.52229999999999999</v>
      </c>
      <c r="L18" s="37" t="s">
        <v>22</v>
      </c>
      <c r="M18">
        <v>3487</v>
      </c>
    </row>
    <row r="19" spans="1:13">
      <c r="A19">
        <v>1971</v>
      </c>
      <c r="B19" t="s">
        <v>54</v>
      </c>
      <c r="C19" t="s">
        <v>58</v>
      </c>
      <c r="D19">
        <v>16</v>
      </c>
      <c r="E19" t="s">
        <v>59</v>
      </c>
      <c r="F19" s="37" t="s">
        <v>174</v>
      </c>
      <c r="G19" s="37" t="s">
        <v>1114</v>
      </c>
      <c r="H19" t="s">
        <v>57</v>
      </c>
      <c r="I19">
        <v>6420</v>
      </c>
      <c r="J19">
        <v>352</v>
      </c>
      <c r="K19" s="37">
        <v>0.53910000000000002</v>
      </c>
      <c r="L19" s="37" t="s">
        <v>22</v>
      </c>
      <c r="M19">
        <v>4494</v>
      </c>
    </row>
    <row r="20" spans="1:13">
      <c r="A20">
        <v>1971</v>
      </c>
      <c r="B20" t="s">
        <v>54</v>
      </c>
      <c r="C20" t="s">
        <v>60</v>
      </c>
      <c r="D20">
        <v>23</v>
      </c>
      <c r="E20" t="s">
        <v>61</v>
      </c>
      <c r="F20" s="37" t="s">
        <v>174</v>
      </c>
      <c r="G20" s="37" t="s">
        <v>1114</v>
      </c>
      <c r="H20" t="s">
        <v>57</v>
      </c>
      <c r="I20">
        <v>5431</v>
      </c>
      <c r="J20">
        <v>454</v>
      </c>
      <c r="K20" s="37">
        <v>0.4108</v>
      </c>
      <c r="L20" s="37" t="s">
        <v>22</v>
      </c>
      <c r="M20">
        <v>3968</v>
      </c>
    </row>
    <row r="21" spans="1:13">
      <c r="A21">
        <v>1980</v>
      </c>
      <c r="B21" t="s">
        <v>54</v>
      </c>
      <c r="C21" t="s">
        <v>62</v>
      </c>
      <c r="D21">
        <v>42</v>
      </c>
      <c r="E21" t="s">
        <v>63</v>
      </c>
      <c r="F21" s="37" t="s">
        <v>174</v>
      </c>
      <c r="G21" s="37" t="s">
        <v>409</v>
      </c>
      <c r="H21" t="s">
        <v>18</v>
      </c>
      <c r="I21">
        <v>8973</v>
      </c>
      <c r="J21">
        <v>9</v>
      </c>
      <c r="K21" s="37">
        <v>0.50060000000000004</v>
      </c>
      <c r="L21" s="37" t="s">
        <v>22</v>
      </c>
      <c r="M21">
        <v>6825</v>
      </c>
    </row>
    <row r="22" spans="1:13">
      <c r="A22">
        <v>1984</v>
      </c>
      <c r="B22" t="s">
        <v>54</v>
      </c>
      <c r="C22" t="s">
        <v>64</v>
      </c>
      <c r="D22">
        <v>53</v>
      </c>
      <c r="E22" t="s">
        <v>65</v>
      </c>
      <c r="F22" s="37" t="s">
        <v>174</v>
      </c>
      <c r="G22" s="37" t="s">
        <v>181</v>
      </c>
      <c r="H22" t="s">
        <v>26</v>
      </c>
      <c r="I22">
        <v>11234</v>
      </c>
      <c r="J22" s="4">
        <v>1005</v>
      </c>
      <c r="K22" s="37">
        <v>0.55779999999999996</v>
      </c>
      <c r="L22" s="37" t="s">
        <v>22</v>
      </c>
      <c r="M22">
        <v>8695</v>
      </c>
    </row>
    <row r="23" spans="1:13">
      <c r="A23">
        <v>1987</v>
      </c>
      <c r="B23" t="s">
        <v>54</v>
      </c>
      <c r="C23" t="s">
        <v>66</v>
      </c>
      <c r="D23">
        <v>1</v>
      </c>
      <c r="E23" t="s">
        <v>67</v>
      </c>
      <c r="F23" s="37" t="s">
        <v>174</v>
      </c>
      <c r="G23" s="37" t="s">
        <v>181</v>
      </c>
      <c r="H23" t="s">
        <v>26</v>
      </c>
      <c r="I23">
        <v>30511</v>
      </c>
      <c r="J23" s="4">
        <v>8930</v>
      </c>
      <c r="K23" s="37">
        <v>0.72330000000000005</v>
      </c>
      <c r="L23" s="37" t="s">
        <v>19</v>
      </c>
      <c r="M23">
        <v>19984</v>
      </c>
    </row>
    <row r="24" spans="1:13">
      <c r="A24">
        <v>1994</v>
      </c>
      <c r="B24" t="s">
        <v>54</v>
      </c>
      <c r="C24" t="s">
        <v>68</v>
      </c>
      <c r="D24">
        <v>8</v>
      </c>
      <c r="E24" t="s">
        <v>69</v>
      </c>
      <c r="F24" s="37" t="s">
        <v>174</v>
      </c>
      <c r="G24" s="37" t="s">
        <v>181</v>
      </c>
      <c r="H24" t="s">
        <v>26</v>
      </c>
      <c r="I24">
        <v>9871</v>
      </c>
      <c r="J24">
        <v>575</v>
      </c>
      <c r="K24" s="37">
        <v>0.53879999999999995</v>
      </c>
      <c r="L24" s="37" t="s">
        <v>22</v>
      </c>
      <c r="M24">
        <v>7405</v>
      </c>
    </row>
    <row r="25" spans="1:13">
      <c r="A25">
        <v>1995</v>
      </c>
      <c r="B25" t="s">
        <v>54</v>
      </c>
      <c r="C25" t="s">
        <v>70</v>
      </c>
      <c r="D25">
        <v>45</v>
      </c>
      <c r="E25" t="s">
        <v>71</v>
      </c>
      <c r="F25" s="37" t="s">
        <v>174</v>
      </c>
      <c r="G25" s="37" t="s">
        <v>181</v>
      </c>
      <c r="H25" t="s">
        <v>26</v>
      </c>
      <c r="I25">
        <v>13842</v>
      </c>
      <c r="J25" s="4">
        <v>8354</v>
      </c>
      <c r="K25" s="37">
        <v>0.82499999999999996</v>
      </c>
      <c r="L25" s="37" t="s">
        <v>22</v>
      </c>
      <c r="M25">
        <v>12858</v>
      </c>
    </row>
    <row r="26" spans="1:13">
      <c r="A26">
        <v>2011</v>
      </c>
      <c r="B26" t="s">
        <v>54</v>
      </c>
      <c r="C26" t="s">
        <v>72</v>
      </c>
      <c r="D26">
        <v>26</v>
      </c>
      <c r="E26" t="s">
        <v>73</v>
      </c>
      <c r="F26" s="37" t="s">
        <v>174</v>
      </c>
      <c r="G26" s="37" t="s">
        <v>1115</v>
      </c>
      <c r="H26" t="s">
        <v>74</v>
      </c>
      <c r="I26">
        <v>12806</v>
      </c>
      <c r="J26" s="4">
        <v>1320</v>
      </c>
      <c r="K26" s="37">
        <v>0.55889999999999995</v>
      </c>
      <c r="L26" s="37" t="s">
        <v>22</v>
      </c>
      <c r="M26">
        <v>11210</v>
      </c>
    </row>
    <row r="27" spans="1:13">
      <c r="A27">
        <v>2018</v>
      </c>
      <c r="B27" t="s">
        <v>54</v>
      </c>
      <c r="C27" t="s">
        <v>75</v>
      </c>
      <c r="D27">
        <v>11</v>
      </c>
      <c r="E27" t="s">
        <v>76</v>
      </c>
      <c r="F27" s="37" t="s">
        <v>174</v>
      </c>
      <c r="G27" s="37" t="s">
        <v>1116</v>
      </c>
      <c r="H27" t="s">
        <v>78</v>
      </c>
      <c r="I27">
        <v>21006</v>
      </c>
      <c r="J27">
        <v>4503</v>
      </c>
      <c r="K27" s="37">
        <v>0.78</v>
      </c>
      <c r="L27" s="37" t="s">
        <v>22</v>
      </c>
      <c r="M27">
        <v>45281</v>
      </c>
    </row>
    <row r="28" spans="1:13" ht="41.4">
      <c r="A28" s="10">
        <v>1996</v>
      </c>
      <c r="B28" s="11" t="s">
        <v>96</v>
      </c>
      <c r="C28" s="11" t="s">
        <v>97</v>
      </c>
      <c r="D28" s="10">
        <v>4</v>
      </c>
      <c r="E28" s="11" t="s">
        <v>98</v>
      </c>
      <c r="F28" s="37" t="s">
        <v>174</v>
      </c>
      <c r="G28" s="37" t="s">
        <v>1117</v>
      </c>
      <c r="H28" s="11" t="s">
        <v>32</v>
      </c>
      <c r="I28" s="12">
        <v>140536</v>
      </c>
      <c r="J28" s="12">
        <v>32206</v>
      </c>
      <c r="K28" s="37">
        <v>0.61760000000000004</v>
      </c>
      <c r="L28" s="37" t="s">
        <v>19</v>
      </c>
      <c r="M28" s="12">
        <v>103285</v>
      </c>
    </row>
    <row r="29" spans="1:13" ht="27.6">
      <c r="A29" s="10">
        <v>1996</v>
      </c>
      <c r="B29" s="11" t="s">
        <v>96</v>
      </c>
      <c r="C29" s="11" t="s">
        <v>100</v>
      </c>
      <c r="D29" s="10">
        <v>6</v>
      </c>
      <c r="E29" s="11" t="s">
        <v>101</v>
      </c>
      <c r="F29" s="37" t="s">
        <v>178</v>
      </c>
      <c r="G29" s="37" t="s">
        <v>1118</v>
      </c>
      <c r="H29" s="11" t="s">
        <v>102</v>
      </c>
      <c r="I29" s="12">
        <v>126691</v>
      </c>
      <c r="J29" s="12">
        <v>14148</v>
      </c>
      <c r="K29" s="37">
        <v>0.4899</v>
      </c>
      <c r="L29" s="37" t="s">
        <v>19</v>
      </c>
      <c r="M29" s="12">
        <v>90187</v>
      </c>
    </row>
    <row r="30" spans="1:13" ht="27.6">
      <c r="A30" s="10">
        <v>1996</v>
      </c>
      <c r="B30" s="11" t="s">
        <v>96</v>
      </c>
      <c r="C30" s="11" t="s">
        <v>103</v>
      </c>
      <c r="D30" s="10">
        <v>36</v>
      </c>
      <c r="E30" s="11" t="s">
        <v>104</v>
      </c>
      <c r="F30" s="37" t="s">
        <v>174</v>
      </c>
      <c r="G30" s="37" t="s">
        <v>1117</v>
      </c>
      <c r="H30" s="11" t="s">
        <v>32</v>
      </c>
      <c r="I30" s="12">
        <v>134812</v>
      </c>
      <c r="J30" s="12">
        <v>18452</v>
      </c>
      <c r="K30" s="37">
        <v>0.52100000000000002</v>
      </c>
      <c r="L30" s="37" t="s">
        <v>19</v>
      </c>
      <c r="M30" s="12">
        <v>115170</v>
      </c>
    </row>
    <row r="31" spans="1:13" ht="27.6">
      <c r="A31" s="10">
        <v>1996</v>
      </c>
      <c r="B31" s="11" t="s">
        <v>96</v>
      </c>
      <c r="C31" s="11" t="s">
        <v>105</v>
      </c>
      <c r="D31" s="10">
        <v>53</v>
      </c>
      <c r="E31" s="11" t="s">
        <v>106</v>
      </c>
      <c r="F31" s="37" t="s">
        <v>174</v>
      </c>
      <c r="G31" s="37" t="s">
        <v>1117</v>
      </c>
      <c r="H31" s="11" t="s">
        <v>32</v>
      </c>
      <c r="I31" s="12">
        <v>128450</v>
      </c>
      <c r="J31" s="12">
        <v>12341</v>
      </c>
      <c r="K31" s="37">
        <v>0.498</v>
      </c>
      <c r="L31" s="37" t="s">
        <v>107</v>
      </c>
      <c r="M31" s="12">
        <v>92114</v>
      </c>
    </row>
    <row r="32" spans="1:13" ht="27.6">
      <c r="A32" s="10">
        <v>1996</v>
      </c>
      <c r="B32" s="11" t="s">
        <v>96</v>
      </c>
      <c r="C32" s="11" t="s">
        <v>108</v>
      </c>
      <c r="D32" s="10">
        <v>57</v>
      </c>
      <c r="E32" s="11" t="s">
        <v>109</v>
      </c>
      <c r="F32" s="37" t="s">
        <v>174</v>
      </c>
      <c r="G32" s="37" t="s">
        <v>181</v>
      </c>
      <c r="H32" s="11" t="s">
        <v>26</v>
      </c>
      <c r="I32" s="12">
        <v>121440</v>
      </c>
      <c r="J32" s="12">
        <v>5612</v>
      </c>
      <c r="K32" s="37">
        <v>0.45300000000000001</v>
      </c>
      <c r="L32" s="37" t="s">
        <v>19</v>
      </c>
      <c r="M32" s="12">
        <v>85412</v>
      </c>
    </row>
    <row r="33" spans="1:13" ht="27.6">
      <c r="A33" s="10">
        <v>1996</v>
      </c>
      <c r="B33" s="11" t="s">
        <v>96</v>
      </c>
      <c r="C33" s="11" t="s">
        <v>110</v>
      </c>
      <c r="D33" s="10">
        <v>59</v>
      </c>
      <c r="E33" s="11" t="s">
        <v>111</v>
      </c>
      <c r="F33" s="37" t="s">
        <v>174</v>
      </c>
      <c r="G33" s="37" t="s">
        <v>1117</v>
      </c>
      <c r="H33" s="11" t="s">
        <v>32</v>
      </c>
      <c r="I33" s="12">
        <v>158343</v>
      </c>
      <c r="J33" s="12">
        <v>5677</v>
      </c>
      <c r="K33" s="37">
        <v>0.50509999999999999</v>
      </c>
      <c r="L33" s="37" t="s">
        <v>19</v>
      </c>
      <c r="M33" s="12">
        <v>119576</v>
      </c>
    </row>
    <row r="34" spans="1:13" ht="27.6">
      <c r="A34" s="10">
        <v>1996</v>
      </c>
      <c r="B34" s="11" t="s">
        <v>96</v>
      </c>
      <c r="C34" s="11" t="s">
        <v>112</v>
      </c>
      <c r="D34" s="10">
        <v>143</v>
      </c>
      <c r="E34" s="11" t="s">
        <v>113</v>
      </c>
      <c r="F34" s="37" t="s">
        <v>174</v>
      </c>
      <c r="G34" s="37" t="s">
        <v>1117</v>
      </c>
      <c r="H34" s="11" t="s">
        <v>32</v>
      </c>
      <c r="I34" s="12">
        <v>152410</v>
      </c>
      <c r="J34" s="12">
        <v>22401</v>
      </c>
      <c r="K34" s="37">
        <v>0.55400000000000005</v>
      </c>
      <c r="L34" s="37" t="s">
        <v>19</v>
      </c>
      <c r="M34" s="12">
        <v>115420</v>
      </c>
    </row>
    <row r="35" spans="1:13" ht="27.6">
      <c r="A35" s="10">
        <v>1996</v>
      </c>
      <c r="B35" s="11" t="s">
        <v>96</v>
      </c>
      <c r="C35" s="11" t="s">
        <v>114</v>
      </c>
      <c r="D35" s="10">
        <v>164</v>
      </c>
      <c r="E35" s="11" t="s">
        <v>115</v>
      </c>
      <c r="F35" s="37" t="s">
        <v>174</v>
      </c>
      <c r="G35" s="37" t="s">
        <v>1117</v>
      </c>
      <c r="H35" s="11" t="s">
        <v>32</v>
      </c>
      <c r="I35" s="12">
        <v>182243</v>
      </c>
      <c r="J35" s="12">
        <v>58210</v>
      </c>
      <c r="K35" s="37">
        <v>0.72</v>
      </c>
      <c r="L35" s="37" t="s">
        <v>19</v>
      </c>
      <c r="M35" s="12">
        <v>119447</v>
      </c>
    </row>
    <row r="36" spans="1:13" ht="27.6">
      <c r="A36" s="10">
        <v>1996</v>
      </c>
      <c r="B36" s="11" t="s">
        <v>96</v>
      </c>
      <c r="C36" s="11" t="s">
        <v>116</v>
      </c>
      <c r="D36" s="10">
        <v>166</v>
      </c>
      <c r="E36" s="11" t="s">
        <v>117</v>
      </c>
      <c r="F36" s="37" t="s">
        <v>174</v>
      </c>
      <c r="G36" s="37" t="s">
        <v>1117</v>
      </c>
      <c r="H36" s="11" t="s">
        <v>32</v>
      </c>
      <c r="I36" s="12">
        <v>161165</v>
      </c>
      <c r="J36" s="12">
        <v>60010</v>
      </c>
      <c r="K36" s="37">
        <v>0.77129999999999999</v>
      </c>
      <c r="L36" s="37" t="s">
        <v>19</v>
      </c>
      <c r="M36" s="12">
        <v>110691</v>
      </c>
    </row>
    <row r="37" spans="1:13" ht="27.6">
      <c r="A37" s="10">
        <v>1996</v>
      </c>
      <c r="B37" s="11" t="s">
        <v>96</v>
      </c>
      <c r="C37" s="11" t="s">
        <v>118</v>
      </c>
      <c r="D37" s="10">
        <v>181</v>
      </c>
      <c r="E37" s="11" t="s">
        <v>119</v>
      </c>
      <c r="F37" s="37" t="s">
        <v>174</v>
      </c>
      <c r="G37" s="37" t="s">
        <v>1117</v>
      </c>
      <c r="H37" s="11" t="s">
        <v>32</v>
      </c>
      <c r="I37" s="12">
        <v>148650</v>
      </c>
      <c r="J37" s="12">
        <v>15302</v>
      </c>
      <c r="K37" s="37">
        <v>0.51200000000000001</v>
      </c>
      <c r="L37" s="37" t="s">
        <v>19</v>
      </c>
      <c r="M37" s="12">
        <v>102415</v>
      </c>
    </row>
    <row r="38" spans="1:13" ht="27.6">
      <c r="A38" s="10">
        <v>1996</v>
      </c>
      <c r="B38" s="11" t="s">
        <v>96</v>
      </c>
      <c r="C38" s="11" t="s">
        <v>120</v>
      </c>
      <c r="D38" s="10">
        <v>192</v>
      </c>
      <c r="E38" s="11" t="s">
        <v>121</v>
      </c>
      <c r="F38" s="37" t="s">
        <v>174</v>
      </c>
      <c r="G38" s="37" t="s">
        <v>1117</v>
      </c>
      <c r="H38" s="11" t="s">
        <v>32</v>
      </c>
      <c r="I38" s="12">
        <v>163515</v>
      </c>
      <c r="J38" s="12">
        <v>47735</v>
      </c>
      <c r="K38" s="37">
        <v>0.68459999999999999</v>
      </c>
      <c r="L38" s="37" t="s">
        <v>19</v>
      </c>
      <c r="M38" s="12">
        <v>114670</v>
      </c>
    </row>
    <row r="39" spans="1:13" ht="27.6">
      <c r="A39" s="10">
        <v>1996</v>
      </c>
      <c r="B39" s="11" t="s">
        <v>96</v>
      </c>
      <c r="C39" s="11" t="s">
        <v>122</v>
      </c>
      <c r="D39" s="10">
        <v>200</v>
      </c>
      <c r="E39" s="11" t="s">
        <v>123</v>
      </c>
      <c r="F39" s="37" t="s">
        <v>174</v>
      </c>
      <c r="G39" s="37" t="s">
        <v>1117</v>
      </c>
      <c r="H39" s="11" t="s">
        <v>32</v>
      </c>
      <c r="I39" s="12">
        <v>155420</v>
      </c>
      <c r="J39" s="12">
        <v>12411</v>
      </c>
      <c r="K39" s="37">
        <v>0.48899999999999999</v>
      </c>
      <c r="L39" s="37" t="s">
        <v>19</v>
      </c>
      <c r="M39" s="12">
        <v>98450</v>
      </c>
    </row>
    <row r="40" spans="1:13" ht="27.6">
      <c r="A40" s="10">
        <v>1996</v>
      </c>
      <c r="B40" s="11" t="s">
        <v>96</v>
      </c>
      <c r="C40" s="11" t="s">
        <v>124</v>
      </c>
      <c r="D40" s="10">
        <v>240</v>
      </c>
      <c r="E40" s="11" t="s">
        <v>125</v>
      </c>
      <c r="F40" s="37" t="s">
        <v>174</v>
      </c>
      <c r="G40" s="37" t="s">
        <v>1117</v>
      </c>
      <c r="H40" s="11" t="s">
        <v>32</v>
      </c>
      <c r="I40" s="12">
        <v>142310</v>
      </c>
      <c r="J40" s="12">
        <v>14203</v>
      </c>
      <c r="K40" s="37">
        <v>0.54200000000000004</v>
      </c>
      <c r="L40" s="37" t="s">
        <v>19</v>
      </c>
      <c r="M40" s="12">
        <v>108640</v>
      </c>
    </row>
    <row r="41" spans="1:13" ht="27.6">
      <c r="A41" s="10">
        <v>1996</v>
      </c>
      <c r="B41" s="11" t="s">
        <v>96</v>
      </c>
      <c r="C41" s="11" t="s">
        <v>126</v>
      </c>
      <c r="D41" s="10">
        <v>256</v>
      </c>
      <c r="E41" s="11" t="s">
        <v>127</v>
      </c>
      <c r="F41" s="37" t="s">
        <v>174</v>
      </c>
      <c r="G41" s="37" t="s">
        <v>1117</v>
      </c>
      <c r="H41" s="11" t="s">
        <v>32</v>
      </c>
      <c r="I41" s="12">
        <v>151240</v>
      </c>
      <c r="J41" s="12">
        <v>18342</v>
      </c>
      <c r="K41" s="37">
        <v>0.53100000000000003</v>
      </c>
      <c r="L41" s="37" t="s">
        <v>19</v>
      </c>
      <c r="M41" s="12">
        <v>99410</v>
      </c>
    </row>
    <row r="42" spans="1:13" ht="27.6">
      <c r="A42" s="10">
        <v>1996</v>
      </c>
      <c r="B42" s="11" t="s">
        <v>96</v>
      </c>
      <c r="C42" s="11" t="s">
        <v>128</v>
      </c>
      <c r="D42" s="10">
        <v>273</v>
      </c>
      <c r="E42" s="11" t="s">
        <v>129</v>
      </c>
      <c r="F42" s="37" t="s">
        <v>174</v>
      </c>
      <c r="G42" s="37" t="s">
        <v>1117</v>
      </c>
      <c r="H42" s="11" t="s">
        <v>32</v>
      </c>
      <c r="I42" s="12">
        <v>138420</v>
      </c>
      <c r="J42" s="12">
        <v>10211</v>
      </c>
      <c r="K42" s="37">
        <v>0.47399999999999998</v>
      </c>
      <c r="L42" s="37" t="s">
        <v>22</v>
      </c>
      <c r="M42" s="12">
        <v>103142</v>
      </c>
    </row>
    <row r="43" spans="1:13" ht="27.6">
      <c r="A43" s="10">
        <v>1996</v>
      </c>
      <c r="B43" s="11" t="s">
        <v>96</v>
      </c>
      <c r="C43" s="11" t="s">
        <v>130</v>
      </c>
      <c r="D43" s="10">
        <v>281</v>
      </c>
      <c r="E43" s="11" t="s">
        <v>131</v>
      </c>
      <c r="F43" s="37" t="s">
        <v>174</v>
      </c>
      <c r="G43" s="37" t="s">
        <v>1119</v>
      </c>
      <c r="H43" s="11" t="s">
        <v>132</v>
      </c>
      <c r="I43" s="12">
        <v>144560</v>
      </c>
      <c r="J43" s="12">
        <v>8452</v>
      </c>
      <c r="K43" s="37">
        <v>0.442</v>
      </c>
      <c r="L43" s="37" t="s">
        <v>19</v>
      </c>
      <c r="M43" s="12">
        <v>92140</v>
      </c>
    </row>
    <row r="44" spans="1:13" ht="27.6">
      <c r="A44" s="10">
        <v>1997</v>
      </c>
      <c r="B44" s="11" t="s">
        <v>96</v>
      </c>
      <c r="C44" s="11" t="s">
        <v>133</v>
      </c>
      <c r="D44" s="10">
        <v>121</v>
      </c>
      <c r="E44" s="11" t="s">
        <v>134</v>
      </c>
      <c r="F44" s="37" t="s">
        <v>174</v>
      </c>
      <c r="G44" s="37" t="s">
        <v>1117</v>
      </c>
      <c r="H44" s="11" t="s">
        <v>32</v>
      </c>
      <c r="I44" s="12">
        <v>190940</v>
      </c>
      <c r="J44" s="12">
        <v>8401</v>
      </c>
      <c r="K44" s="37">
        <v>0.52529999999999999</v>
      </c>
      <c r="L44" s="37" t="s">
        <v>19</v>
      </c>
      <c r="M44" s="12">
        <v>122683</v>
      </c>
    </row>
    <row r="45" spans="1:13" ht="27.6">
      <c r="A45" s="10">
        <v>1997</v>
      </c>
      <c r="B45" s="11" t="s">
        <v>96</v>
      </c>
      <c r="C45" s="11" t="s">
        <v>135</v>
      </c>
      <c r="D45" s="10">
        <v>183</v>
      </c>
      <c r="E45" s="11" t="s">
        <v>136</v>
      </c>
      <c r="F45" s="37" t="s">
        <v>178</v>
      </c>
      <c r="G45" s="37" t="s">
        <v>1117</v>
      </c>
      <c r="H45" s="11" t="s">
        <v>32</v>
      </c>
      <c r="I45" s="12">
        <v>170560</v>
      </c>
      <c r="J45" s="12">
        <v>47161</v>
      </c>
      <c r="K45" s="37">
        <v>0.71809999999999996</v>
      </c>
      <c r="L45" s="37" t="s">
        <v>19</v>
      </c>
      <c r="M45" s="12">
        <v>106571</v>
      </c>
    </row>
    <row r="46" spans="1:13" ht="27.6">
      <c r="A46" s="10">
        <v>1998</v>
      </c>
      <c r="B46" s="11" t="s">
        <v>96</v>
      </c>
      <c r="C46" s="11" t="s">
        <v>137</v>
      </c>
      <c r="D46" s="10">
        <v>270</v>
      </c>
      <c r="E46" s="11" t="s">
        <v>138</v>
      </c>
      <c r="F46" s="37" t="s">
        <v>174</v>
      </c>
      <c r="G46" s="37" t="s">
        <v>181</v>
      </c>
      <c r="H46" s="11" t="s">
        <v>26</v>
      </c>
      <c r="I46" s="13">
        <v>230400</v>
      </c>
      <c r="J46" s="12">
        <v>2960</v>
      </c>
      <c r="K46" s="37">
        <v>0.35599999999999998</v>
      </c>
      <c r="L46" s="37" t="s">
        <v>19</v>
      </c>
      <c r="M46" s="13">
        <v>133948</v>
      </c>
    </row>
    <row r="47" spans="1:13" ht="27.6">
      <c r="A47" s="10">
        <v>1998</v>
      </c>
      <c r="B47" s="11" t="s">
        <v>96</v>
      </c>
      <c r="C47" s="11" t="s">
        <v>139</v>
      </c>
      <c r="D47" s="10">
        <v>278</v>
      </c>
      <c r="E47" s="11" t="s">
        <v>140</v>
      </c>
      <c r="F47" s="37" t="s">
        <v>174</v>
      </c>
      <c r="G47" s="37" t="s">
        <v>1120</v>
      </c>
      <c r="H47" s="11" t="s">
        <v>142</v>
      </c>
      <c r="I47" s="13">
        <v>180883</v>
      </c>
      <c r="J47" s="12">
        <v>4020</v>
      </c>
      <c r="K47" s="37">
        <v>0.3508</v>
      </c>
      <c r="L47" s="37" t="s">
        <v>19</v>
      </c>
      <c r="M47" s="13">
        <v>144008</v>
      </c>
    </row>
    <row r="48" spans="1:13" ht="27.6">
      <c r="A48" s="10">
        <v>1998</v>
      </c>
      <c r="B48" s="11" t="s">
        <v>96</v>
      </c>
      <c r="C48" s="11" t="s">
        <v>105</v>
      </c>
      <c r="D48" s="10">
        <v>43</v>
      </c>
      <c r="E48" s="11" t="s">
        <v>143</v>
      </c>
      <c r="F48" s="37" t="s">
        <v>174</v>
      </c>
      <c r="G48" s="37" t="s">
        <v>1117</v>
      </c>
      <c r="H48" s="11" t="s">
        <v>32</v>
      </c>
      <c r="I48" s="13">
        <v>134965</v>
      </c>
      <c r="J48" s="12">
        <v>17778</v>
      </c>
      <c r="K48" s="37">
        <v>0.60729999999999995</v>
      </c>
      <c r="L48" s="37" t="s">
        <v>107</v>
      </c>
      <c r="M48" s="12">
        <v>82094</v>
      </c>
    </row>
    <row r="49" spans="1:13" ht="27.6">
      <c r="A49" s="10">
        <v>1998</v>
      </c>
      <c r="B49" s="11" t="s">
        <v>96</v>
      </c>
      <c r="C49" s="11" t="s">
        <v>144</v>
      </c>
      <c r="D49" s="10">
        <v>66</v>
      </c>
      <c r="E49" s="11" t="s">
        <v>145</v>
      </c>
      <c r="F49" s="37" t="s">
        <v>174</v>
      </c>
      <c r="G49" s="37" t="s">
        <v>1117</v>
      </c>
      <c r="H49" s="11" t="s">
        <v>32</v>
      </c>
      <c r="I49" s="13">
        <v>140109</v>
      </c>
      <c r="J49" s="12">
        <v>45566</v>
      </c>
      <c r="K49" s="37">
        <v>0.70509999999999995</v>
      </c>
      <c r="L49" s="37" t="s">
        <v>19</v>
      </c>
      <c r="M49" s="12">
        <v>98414</v>
      </c>
    </row>
    <row r="50" spans="1:13" ht="27.6">
      <c r="A50" s="10">
        <v>1998</v>
      </c>
      <c r="B50" s="11" t="s">
        <v>96</v>
      </c>
      <c r="C50" s="11" t="s">
        <v>146</v>
      </c>
      <c r="D50" s="10">
        <v>229</v>
      </c>
      <c r="E50" s="11" t="s">
        <v>147</v>
      </c>
      <c r="F50" s="37" t="s">
        <v>174</v>
      </c>
      <c r="G50" s="37" t="s">
        <v>1117</v>
      </c>
      <c r="H50" s="11" t="s">
        <v>32</v>
      </c>
      <c r="I50" s="13">
        <v>139947</v>
      </c>
      <c r="J50" s="12">
        <v>10554</v>
      </c>
      <c r="K50" s="37">
        <v>0.54690000000000005</v>
      </c>
      <c r="L50" s="37" t="s">
        <v>107</v>
      </c>
      <c r="M50" s="12">
        <v>100497</v>
      </c>
    </row>
    <row r="51" spans="1:13" ht="27.6">
      <c r="A51" s="10">
        <v>1998</v>
      </c>
      <c r="B51" s="11" t="s">
        <v>96</v>
      </c>
      <c r="C51" s="11" t="s">
        <v>148</v>
      </c>
      <c r="D51" s="10">
        <v>258</v>
      </c>
      <c r="E51" s="11" t="s">
        <v>149</v>
      </c>
      <c r="F51" s="37" t="s">
        <v>178</v>
      </c>
      <c r="G51" s="37" t="s">
        <v>181</v>
      </c>
      <c r="H51" s="11" t="s">
        <v>26</v>
      </c>
      <c r="I51" s="13">
        <v>162693</v>
      </c>
      <c r="J51" s="12">
        <v>3885</v>
      </c>
      <c r="K51" s="37">
        <v>0.34520000000000001</v>
      </c>
      <c r="L51" s="37" t="s">
        <v>19</v>
      </c>
      <c r="M51" s="13">
        <v>100210</v>
      </c>
    </row>
    <row r="52" spans="1:13" ht="27.6">
      <c r="A52" s="10">
        <v>2000</v>
      </c>
      <c r="B52" s="11" t="s">
        <v>96</v>
      </c>
      <c r="C52" s="11" t="s">
        <v>150</v>
      </c>
      <c r="D52" s="10">
        <v>85</v>
      </c>
      <c r="E52" s="11" t="s">
        <v>151</v>
      </c>
      <c r="F52" s="37" t="s">
        <v>174</v>
      </c>
      <c r="G52" s="37" t="s">
        <v>1117</v>
      </c>
      <c r="H52" s="11" t="s">
        <v>32</v>
      </c>
      <c r="I52" s="13">
        <v>168159</v>
      </c>
      <c r="J52" s="12">
        <v>31997</v>
      </c>
      <c r="K52" s="37">
        <v>0.65</v>
      </c>
      <c r="L52" s="37" t="s">
        <v>19</v>
      </c>
      <c r="M52" s="12">
        <v>96315</v>
      </c>
    </row>
    <row r="53" spans="1:13" ht="27.6">
      <c r="A53" s="10">
        <v>2000</v>
      </c>
      <c r="B53" s="11" t="s">
        <v>96</v>
      </c>
      <c r="C53" s="11" t="s">
        <v>152</v>
      </c>
      <c r="D53" s="10">
        <v>204</v>
      </c>
      <c r="E53" s="11" t="s">
        <v>153</v>
      </c>
      <c r="F53" s="37" t="s">
        <v>178</v>
      </c>
      <c r="G53" s="37" t="s">
        <v>181</v>
      </c>
      <c r="H53" s="11" t="s">
        <v>26</v>
      </c>
      <c r="I53" s="13">
        <v>208250</v>
      </c>
      <c r="J53" s="12">
        <v>29909</v>
      </c>
      <c r="K53" s="37">
        <v>0.58679999999999999</v>
      </c>
      <c r="L53" s="37" t="s">
        <v>19</v>
      </c>
      <c r="M53" s="13">
        <v>143912</v>
      </c>
    </row>
    <row r="54" spans="1:13" ht="27.6">
      <c r="A54" s="10">
        <v>2000</v>
      </c>
      <c r="B54" s="11" t="s">
        <v>96</v>
      </c>
      <c r="C54" s="11" t="s">
        <v>154</v>
      </c>
      <c r="D54" s="10">
        <v>292</v>
      </c>
      <c r="E54" s="11" t="s">
        <v>155</v>
      </c>
      <c r="F54" s="37" t="s">
        <v>178</v>
      </c>
      <c r="G54" s="37" t="s">
        <v>1117</v>
      </c>
      <c r="H54" s="11" t="s">
        <v>32</v>
      </c>
      <c r="I54" s="13">
        <v>179978</v>
      </c>
      <c r="J54" s="12">
        <v>46488</v>
      </c>
      <c r="K54" s="37">
        <v>0.61299999999999999</v>
      </c>
      <c r="L54" s="37" t="s">
        <v>19</v>
      </c>
      <c r="M54" s="12">
        <v>127886</v>
      </c>
    </row>
    <row r="55" spans="1:13" ht="27.6">
      <c r="A55" s="10">
        <v>2001</v>
      </c>
      <c r="B55" s="11" t="s">
        <v>96</v>
      </c>
      <c r="C55" s="11" t="s">
        <v>156</v>
      </c>
      <c r="D55" s="10">
        <v>123</v>
      </c>
      <c r="E55" s="11" t="s">
        <v>157</v>
      </c>
      <c r="F55" s="37" t="s">
        <v>178</v>
      </c>
      <c r="G55" s="37" t="s">
        <v>1117</v>
      </c>
      <c r="H55" s="11" t="s">
        <v>32</v>
      </c>
      <c r="I55" s="13">
        <v>151326</v>
      </c>
      <c r="J55" s="12">
        <v>12242</v>
      </c>
      <c r="K55" s="37">
        <v>0.52800000000000002</v>
      </c>
      <c r="L55" s="37" t="s">
        <v>19</v>
      </c>
      <c r="M55" s="13">
        <v>104506</v>
      </c>
    </row>
    <row r="56" spans="1:13" ht="27.6">
      <c r="A56" s="10">
        <v>2001</v>
      </c>
      <c r="B56" s="11" t="s">
        <v>96</v>
      </c>
      <c r="C56" s="11" t="s">
        <v>158</v>
      </c>
      <c r="D56" s="10">
        <v>155</v>
      </c>
      <c r="E56" s="11" t="s">
        <v>159</v>
      </c>
      <c r="F56" s="37" t="s">
        <v>174</v>
      </c>
      <c r="G56" s="37" t="s">
        <v>1117</v>
      </c>
      <c r="H56" s="11" t="s">
        <v>32</v>
      </c>
      <c r="I56" s="13">
        <v>153842</v>
      </c>
      <c r="J56" s="12">
        <v>15312</v>
      </c>
      <c r="K56" s="37">
        <v>0.53400000000000003</v>
      </c>
      <c r="L56" s="37" t="s">
        <v>19</v>
      </c>
      <c r="M56" s="13">
        <v>112456</v>
      </c>
    </row>
    <row r="57" spans="1:13" ht="27.6">
      <c r="A57" s="10">
        <v>2001</v>
      </c>
      <c r="B57" s="11" t="s">
        <v>96</v>
      </c>
      <c r="C57" s="11" t="s">
        <v>160</v>
      </c>
      <c r="D57" s="10">
        <v>84</v>
      </c>
      <c r="E57" s="11" t="s">
        <v>161</v>
      </c>
      <c r="F57" s="37" t="s">
        <v>178</v>
      </c>
      <c r="G57" s="37" t="s">
        <v>1117</v>
      </c>
      <c r="H57" s="11" t="s">
        <v>32</v>
      </c>
      <c r="I57" s="13">
        <v>124379</v>
      </c>
      <c r="J57" s="12">
        <v>16451</v>
      </c>
      <c r="K57" s="37">
        <v>0.58279999999999998</v>
      </c>
      <c r="L57" s="37" t="s">
        <v>19</v>
      </c>
      <c r="M57" s="12">
        <v>89951</v>
      </c>
    </row>
    <row r="58" spans="1:13" ht="27.6">
      <c r="A58" s="10">
        <v>2001</v>
      </c>
      <c r="B58" s="11" t="s">
        <v>96</v>
      </c>
      <c r="C58" s="11" t="s">
        <v>162</v>
      </c>
      <c r="D58" s="10">
        <v>220</v>
      </c>
      <c r="E58" s="11" t="s">
        <v>163</v>
      </c>
      <c r="F58" s="37" t="s">
        <v>174</v>
      </c>
      <c r="G58" s="37" t="s">
        <v>1121</v>
      </c>
      <c r="H58" s="11" t="s">
        <v>165</v>
      </c>
      <c r="I58" s="13">
        <v>174864</v>
      </c>
      <c r="J58" s="12">
        <v>58712</v>
      </c>
      <c r="K58" s="37">
        <v>0.72350000000000003</v>
      </c>
      <c r="L58" s="37" t="s">
        <v>19</v>
      </c>
      <c r="M58" s="13">
        <v>114205</v>
      </c>
    </row>
    <row r="59" spans="1:13" ht="27.6">
      <c r="A59" s="10">
        <v>2002</v>
      </c>
      <c r="B59" s="11" t="s">
        <v>96</v>
      </c>
      <c r="C59" s="11" t="s">
        <v>166</v>
      </c>
      <c r="D59" s="10">
        <v>294</v>
      </c>
      <c r="E59" s="11" t="s">
        <v>167</v>
      </c>
      <c r="F59" s="37" t="s">
        <v>178</v>
      </c>
      <c r="G59" s="37" t="s">
        <v>181</v>
      </c>
      <c r="H59" s="11" t="s">
        <v>26</v>
      </c>
      <c r="I59" s="12">
        <v>181197</v>
      </c>
      <c r="J59" s="19">
        <v>58712</v>
      </c>
      <c r="K59" s="37">
        <v>0.72350000000000003</v>
      </c>
      <c r="L59" s="37" t="s">
        <v>22</v>
      </c>
      <c r="M59" s="14">
        <v>115300</v>
      </c>
    </row>
    <row r="60" spans="1:13" ht="27.6">
      <c r="A60" s="10">
        <v>2002</v>
      </c>
      <c r="B60" s="11" t="s">
        <v>96</v>
      </c>
      <c r="C60" s="11" t="s">
        <v>168</v>
      </c>
      <c r="D60" s="10">
        <v>227</v>
      </c>
      <c r="E60" s="11" t="s">
        <v>169</v>
      </c>
      <c r="F60" s="37" t="s">
        <v>178</v>
      </c>
      <c r="G60" s="37" t="s">
        <v>1117</v>
      </c>
      <c r="H60" s="11" t="s">
        <v>32</v>
      </c>
      <c r="I60" s="13">
        <v>170857</v>
      </c>
      <c r="J60" s="12">
        <v>6960</v>
      </c>
      <c r="K60" s="37">
        <v>0.37230000000000002</v>
      </c>
      <c r="L60" s="37" t="s">
        <v>19</v>
      </c>
      <c r="M60" s="13">
        <v>116729</v>
      </c>
    </row>
    <row r="61" spans="1:13" ht="27.6">
      <c r="A61" s="10">
        <v>2003</v>
      </c>
      <c r="B61" s="11" t="s">
        <v>96</v>
      </c>
      <c r="C61" s="11" t="s">
        <v>170</v>
      </c>
      <c r="D61" s="10">
        <v>215</v>
      </c>
      <c r="E61" s="11" t="s">
        <v>171</v>
      </c>
      <c r="F61" s="37" t="s">
        <v>174</v>
      </c>
      <c r="G61" s="37" t="s">
        <v>481</v>
      </c>
      <c r="H61" s="11" t="s">
        <v>172</v>
      </c>
      <c r="I61" s="13">
        <v>295902</v>
      </c>
      <c r="J61" s="12">
        <v>19716</v>
      </c>
      <c r="K61" s="37">
        <v>0.5151</v>
      </c>
      <c r="L61" s="37" t="s">
        <v>19</v>
      </c>
      <c r="M61" s="13">
        <v>130831</v>
      </c>
    </row>
    <row r="62" spans="1:13" ht="27.6">
      <c r="A62" s="10">
        <v>2004</v>
      </c>
      <c r="B62" s="11" t="s">
        <v>96</v>
      </c>
      <c r="C62" s="11" t="s">
        <v>162</v>
      </c>
      <c r="D62" s="10">
        <v>220</v>
      </c>
      <c r="E62" s="11" t="s">
        <v>173</v>
      </c>
      <c r="F62" s="37" t="s">
        <v>174</v>
      </c>
      <c r="G62" s="37" t="s">
        <v>1121</v>
      </c>
      <c r="H62" s="11" t="s">
        <v>165</v>
      </c>
      <c r="I62" s="13">
        <v>167565</v>
      </c>
      <c r="J62" s="12">
        <v>24829</v>
      </c>
      <c r="K62" s="37">
        <v>0.55759999999999998</v>
      </c>
      <c r="L62" s="37" t="s">
        <v>19</v>
      </c>
      <c r="M62" s="13">
        <v>115460</v>
      </c>
    </row>
    <row r="63" spans="1:13" ht="27.6">
      <c r="A63" s="10">
        <v>2004</v>
      </c>
      <c r="B63" s="11" t="s">
        <v>96</v>
      </c>
      <c r="C63" s="11" t="s">
        <v>175</v>
      </c>
      <c r="D63" s="10">
        <v>213</v>
      </c>
      <c r="E63" s="11" t="s">
        <v>176</v>
      </c>
      <c r="F63" s="37" t="s">
        <v>174</v>
      </c>
      <c r="G63" s="37" t="s">
        <v>481</v>
      </c>
      <c r="H63" s="11" t="s">
        <v>172</v>
      </c>
      <c r="I63" s="13">
        <v>184868</v>
      </c>
      <c r="J63" s="12">
        <v>2110</v>
      </c>
      <c r="K63" s="37">
        <v>0.36580000000000001</v>
      </c>
      <c r="L63" s="37" t="s">
        <v>19</v>
      </c>
      <c r="M63" s="12">
        <v>70311</v>
      </c>
    </row>
    <row r="64" spans="1:13" ht="27.6">
      <c r="A64" s="10">
        <v>2005</v>
      </c>
      <c r="B64" s="11" t="s">
        <v>96</v>
      </c>
      <c r="C64" s="11" t="s">
        <v>116</v>
      </c>
      <c r="D64" s="10">
        <v>166</v>
      </c>
      <c r="E64" s="11" t="s">
        <v>177</v>
      </c>
      <c r="F64" s="37" t="s">
        <v>178</v>
      </c>
      <c r="G64" s="37" t="s">
        <v>1117</v>
      </c>
      <c r="H64" s="11" t="s">
        <v>165</v>
      </c>
      <c r="I64" s="13">
        <v>168774</v>
      </c>
      <c r="J64" s="12">
        <v>18852</v>
      </c>
      <c r="K64" s="37">
        <v>0.54979999999999996</v>
      </c>
      <c r="L64" s="37" t="s">
        <v>19</v>
      </c>
      <c r="M64" s="13">
        <v>119544</v>
      </c>
    </row>
    <row r="65" spans="1:13" ht="27.6">
      <c r="A65" s="10">
        <v>2005</v>
      </c>
      <c r="B65" s="11" t="s">
        <v>96</v>
      </c>
      <c r="C65" s="11" t="s">
        <v>179</v>
      </c>
      <c r="D65" s="10">
        <v>199</v>
      </c>
      <c r="E65" s="11" t="s">
        <v>180</v>
      </c>
      <c r="F65" s="37" t="s">
        <v>174</v>
      </c>
      <c r="G65" s="37" t="s">
        <v>181</v>
      </c>
      <c r="H65" s="11" t="s">
        <v>26</v>
      </c>
      <c r="I65" s="13">
        <v>184294</v>
      </c>
      <c r="J65" s="12">
        <v>40079</v>
      </c>
      <c r="K65" s="37">
        <v>0.65610000000000002</v>
      </c>
      <c r="L65" s="37" t="s">
        <v>19</v>
      </c>
      <c r="M65" s="12">
        <v>98886</v>
      </c>
    </row>
    <row r="66" spans="1:13" ht="27.6">
      <c r="A66" s="10">
        <v>2006</v>
      </c>
      <c r="B66" s="11" t="s">
        <v>96</v>
      </c>
      <c r="C66" s="11" t="s">
        <v>182</v>
      </c>
      <c r="D66" s="10">
        <v>24</v>
      </c>
      <c r="E66" s="11" t="s">
        <v>183</v>
      </c>
      <c r="F66" s="37" t="s">
        <v>174</v>
      </c>
      <c r="G66" s="37" t="s">
        <v>181</v>
      </c>
      <c r="H66" s="11" t="s">
        <v>26</v>
      </c>
      <c r="I66" s="13">
        <v>132586</v>
      </c>
      <c r="J66" s="12">
        <v>14150</v>
      </c>
      <c r="K66" s="37">
        <v>0.59209999999999996</v>
      </c>
      <c r="L66" s="37" t="s">
        <v>19</v>
      </c>
      <c r="M66" s="12">
        <v>58882</v>
      </c>
    </row>
    <row r="67" spans="1:13" ht="27.6">
      <c r="A67" s="10">
        <v>2008</v>
      </c>
      <c r="B67" s="11" t="s">
        <v>96</v>
      </c>
      <c r="C67" s="11" t="s">
        <v>184</v>
      </c>
      <c r="D67" s="10">
        <v>12</v>
      </c>
      <c r="E67" s="11" t="s">
        <v>185</v>
      </c>
      <c r="F67" s="37" t="s">
        <v>174</v>
      </c>
      <c r="G67" s="37" t="s">
        <v>1117</v>
      </c>
      <c r="H67" s="11" t="s">
        <v>32</v>
      </c>
      <c r="I67" s="13">
        <v>139040</v>
      </c>
      <c r="J67" s="12">
        <v>42280</v>
      </c>
      <c r="K67" s="37">
        <v>0.74390000000000001</v>
      </c>
      <c r="L67" s="37" t="s">
        <v>19</v>
      </c>
      <c r="M67" s="12">
        <v>75094</v>
      </c>
    </row>
    <row r="68" spans="1:13" ht="27.6">
      <c r="A68" s="10">
        <v>2008</v>
      </c>
      <c r="B68" s="11" t="s">
        <v>96</v>
      </c>
      <c r="C68" s="11" t="s">
        <v>120</v>
      </c>
      <c r="D68" s="10">
        <v>192</v>
      </c>
      <c r="E68" s="11" t="s">
        <v>186</v>
      </c>
      <c r="F68" s="37" t="s">
        <v>174</v>
      </c>
      <c r="G68" s="37" t="s">
        <v>181</v>
      </c>
      <c r="H68" s="11" t="s">
        <v>26</v>
      </c>
      <c r="I68" s="13">
        <v>180894</v>
      </c>
      <c r="J68" s="12">
        <v>2106</v>
      </c>
      <c r="K68" s="37">
        <v>0.37430000000000002</v>
      </c>
      <c r="L68" s="37" t="s">
        <v>19</v>
      </c>
      <c r="M68" s="13">
        <v>120678</v>
      </c>
    </row>
    <row r="69" spans="1:13" ht="27.6">
      <c r="A69" s="10">
        <v>2008</v>
      </c>
      <c r="B69" s="11" t="s">
        <v>96</v>
      </c>
      <c r="C69" s="11" t="s">
        <v>187</v>
      </c>
      <c r="D69" s="10">
        <v>202</v>
      </c>
      <c r="E69" s="11" t="s">
        <v>188</v>
      </c>
      <c r="F69" s="37" t="s">
        <v>174</v>
      </c>
      <c r="G69" s="37" t="s">
        <v>181</v>
      </c>
      <c r="H69" s="11" t="s">
        <v>26</v>
      </c>
      <c r="I69" s="13">
        <v>184735</v>
      </c>
      <c r="J69" s="12">
        <v>28892</v>
      </c>
      <c r="K69" s="37">
        <v>0.53990000000000005</v>
      </c>
      <c r="L69" s="37" t="s">
        <v>107</v>
      </c>
      <c r="M69" s="13">
        <v>125601</v>
      </c>
    </row>
    <row r="70" spans="1:13" ht="27.6">
      <c r="A70" s="10">
        <v>2008</v>
      </c>
      <c r="B70" s="11" t="s">
        <v>96</v>
      </c>
      <c r="C70" s="11" t="s">
        <v>189</v>
      </c>
      <c r="D70" s="10">
        <v>206</v>
      </c>
      <c r="E70" s="11" t="s">
        <v>190</v>
      </c>
      <c r="F70" s="37" t="s">
        <v>178</v>
      </c>
      <c r="G70" s="37" t="s">
        <v>181</v>
      </c>
      <c r="H70" s="11" t="s">
        <v>26</v>
      </c>
      <c r="I70" s="13">
        <v>222999</v>
      </c>
      <c r="J70" s="12">
        <v>2075</v>
      </c>
      <c r="K70" s="37">
        <v>0.31219999999999998</v>
      </c>
      <c r="L70" s="37" t="s">
        <v>19</v>
      </c>
      <c r="M70" s="13">
        <v>111442</v>
      </c>
    </row>
    <row r="71" spans="1:13" ht="27.6">
      <c r="A71" s="10">
        <v>2008</v>
      </c>
      <c r="B71" s="11" t="s">
        <v>96</v>
      </c>
      <c r="C71" s="11" t="s">
        <v>191</v>
      </c>
      <c r="D71" s="10">
        <v>209</v>
      </c>
      <c r="E71" s="11" t="s">
        <v>192</v>
      </c>
      <c r="F71" s="37" t="s">
        <v>174</v>
      </c>
      <c r="G71" s="37" t="s">
        <v>1117</v>
      </c>
      <c r="H71" s="11" t="s">
        <v>32</v>
      </c>
      <c r="I71" s="13">
        <v>208181</v>
      </c>
      <c r="J71" s="12">
        <v>18067</v>
      </c>
      <c r="K71" s="37">
        <v>0.41520000000000001</v>
      </c>
      <c r="L71" s="37" t="s">
        <v>19</v>
      </c>
      <c r="M71" s="13">
        <v>120487</v>
      </c>
    </row>
    <row r="72" spans="1:13" ht="27.6">
      <c r="A72" s="10">
        <v>2008</v>
      </c>
      <c r="B72" s="11" t="s">
        <v>96</v>
      </c>
      <c r="C72" s="11" t="s">
        <v>193</v>
      </c>
      <c r="D72" s="10">
        <v>210</v>
      </c>
      <c r="E72" s="11" t="s">
        <v>194</v>
      </c>
      <c r="F72" s="37" t="s">
        <v>174</v>
      </c>
      <c r="G72" s="37" t="s">
        <v>181</v>
      </c>
      <c r="H72" s="11" t="s">
        <v>26</v>
      </c>
      <c r="I72" s="13">
        <v>1049850</v>
      </c>
      <c r="J72" s="13">
        <v>196269</v>
      </c>
      <c r="K72" s="37">
        <v>0.66990000000000005</v>
      </c>
      <c r="L72" s="37" t="s">
        <v>19</v>
      </c>
      <c r="M72" s="12">
        <v>380145</v>
      </c>
    </row>
    <row r="73" spans="1:13" ht="27.6">
      <c r="A73" s="10">
        <v>2008</v>
      </c>
      <c r="B73" s="11" t="s">
        <v>96</v>
      </c>
      <c r="C73" s="11" t="s">
        <v>162</v>
      </c>
      <c r="D73" s="10">
        <v>220</v>
      </c>
      <c r="E73" s="11" t="s">
        <v>195</v>
      </c>
      <c r="F73" s="37" t="s">
        <v>174</v>
      </c>
      <c r="G73" s="37" t="s">
        <v>1121</v>
      </c>
      <c r="H73" s="11" t="s">
        <v>165</v>
      </c>
      <c r="I73" s="13">
        <v>179272</v>
      </c>
      <c r="J73" s="12">
        <v>58935</v>
      </c>
      <c r="K73" s="37">
        <v>0.67249999999999999</v>
      </c>
      <c r="L73" s="37" t="s">
        <v>19</v>
      </c>
      <c r="M73" s="13">
        <v>113405</v>
      </c>
    </row>
    <row r="74" spans="1:13" ht="27.6">
      <c r="A74" s="10">
        <v>2008</v>
      </c>
      <c r="B74" s="11" t="s">
        <v>96</v>
      </c>
      <c r="C74" s="11" t="s">
        <v>196</v>
      </c>
      <c r="D74" s="10">
        <v>221</v>
      </c>
      <c r="E74" s="11" t="s">
        <v>197</v>
      </c>
      <c r="F74" s="37" t="s">
        <v>174</v>
      </c>
      <c r="G74" s="37" t="s">
        <v>1121</v>
      </c>
      <c r="H74" s="11" t="s">
        <v>165</v>
      </c>
      <c r="I74" s="13">
        <v>147107</v>
      </c>
      <c r="J74" s="12">
        <v>5142</v>
      </c>
      <c r="K74" s="37">
        <v>0.39639999999999997</v>
      </c>
      <c r="L74" s="37" t="s">
        <v>19</v>
      </c>
      <c r="M74" s="13">
        <v>106820</v>
      </c>
    </row>
    <row r="75" spans="1:13" ht="27.6">
      <c r="A75" s="10">
        <v>2008</v>
      </c>
      <c r="B75" s="11" t="s">
        <v>96</v>
      </c>
      <c r="C75" s="11" t="s">
        <v>198</v>
      </c>
      <c r="D75" s="10">
        <v>233</v>
      </c>
      <c r="E75" s="11" t="s">
        <v>199</v>
      </c>
      <c r="F75" s="37" t="s">
        <v>174</v>
      </c>
      <c r="G75" s="37" t="s">
        <v>181</v>
      </c>
      <c r="H75" s="11" t="s">
        <v>26</v>
      </c>
      <c r="I75" s="13">
        <v>165676</v>
      </c>
      <c r="J75" s="12">
        <v>12345</v>
      </c>
      <c r="K75" s="37">
        <v>0.39169999999999999</v>
      </c>
      <c r="L75" s="37" t="s">
        <v>19</v>
      </c>
      <c r="M75" s="13">
        <v>119555</v>
      </c>
    </row>
    <row r="76" spans="1:13" ht="27.6">
      <c r="A76" s="10">
        <v>2008</v>
      </c>
      <c r="B76" s="11" t="s">
        <v>96</v>
      </c>
      <c r="C76" s="11" t="s">
        <v>200</v>
      </c>
      <c r="D76" s="10">
        <v>238</v>
      </c>
      <c r="E76" s="11" t="s">
        <v>201</v>
      </c>
      <c r="F76" s="37" t="s">
        <v>178</v>
      </c>
      <c r="G76" s="37" t="s">
        <v>181</v>
      </c>
      <c r="H76" s="11" t="s">
        <v>26</v>
      </c>
      <c r="I76" s="13">
        <v>152024</v>
      </c>
      <c r="J76" s="12">
        <v>8448</v>
      </c>
      <c r="K76" s="37">
        <v>0.37219999999999998</v>
      </c>
      <c r="L76" s="37" t="s">
        <v>19</v>
      </c>
      <c r="M76" s="13">
        <v>106795</v>
      </c>
    </row>
    <row r="77" spans="1:13" ht="27.6">
      <c r="A77" s="10">
        <v>2008</v>
      </c>
      <c r="B77" s="11" t="s">
        <v>96</v>
      </c>
      <c r="C77" s="11" t="s">
        <v>202</v>
      </c>
      <c r="D77" s="10">
        <v>243</v>
      </c>
      <c r="E77" s="11" t="s">
        <v>203</v>
      </c>
      <c r="F77" s="37" t="s">
        <v>178</v>
      </c>
      <c r="G77" s="37" t="s">
        <v>1117</v>
      </c>
      <c r="H77" s="11" t="s">
        <v>32</v>
      </c>
      <c r="I77" s="13">
        <v>159421</v>
      </c>
      <c r="J77" s="10">
        <v>713</v>
      </c>
      <c r="K77" s="37">
        <v>0.37190000000000001</v>
      </c>
      <c r="L77" s="37" t="s">
        <v>22</v>
      </c>
      <c r="M77" s="13">
        <v>108064</v>
      </c>
    </row>
    <row r="78" spans="1:13" ht="27.6">
      <c r="A78" s="10">
        <v>2008</v>
      </c>
      <c r="B78" s="11" t="s">
        <v>96</v>
      </c>
      <c r="C78" s="11" t="s">
        <v>204</v>
      </c>
      <c r="D78" s="10">
        <v>250</v>
      </c>
      <c r="E78" s="11" t="s">
        <v>205</v>
      </c>
      <c r="F78" s="37" t="s">
        <v>174</v>
      </c>
      <c r="G78" s="37" t="s">
        <v>1121</v>
      </c>
      <c r="H78" s="11" t="s">
        <v>165</v>
      </c>
      <c r="I78" s="13">
        <v>288461</v>
      </c>
      <c r="J78" s="12">
        <v>28137</v>
      </c>
      <c r="K78" s="37">
        <v>0.45600000000000002</v>
      </c>
      <c r="L78" s="37" t="s">
        <v>107</v>
      </c>
      <c r="M78" s="13">
        <v>136208</v>
      </c>
    </row>
    <row r="79" spans="1:13" ht="27.6">
      <c r="A79" s="10">
        <v>2008</v>
      </c>
      <c r="B79" s="11" t="s">
        <v>96</v>
      </c>
      <c r="C79" s="11" t="s">
        <v>206</v>
      </c>
      <c r="D79" s="10">
        <v>251</v>
      </c>
      <c r="E79" s="11" t="s">
        <v>207</v>
      </c>
      <c r="F79" s="37" t="s">
        <v>174</v>
      </c>
      <c r="G79" s="37" t="s">
        <v>1121</v>
      </c>
      <c r="H79" s="11" t="s">
        <v>165</v>
      </c>
      <c r="I79" s="13">
        <v>188123</v>
      </c>
      <c r="J79" s="12">
        <v>20820</v>
      </c>
      <c r="K79" s="37">
        <v>0.44719999999999999</v>
      </c>
      <c r="L79" s="37" t="s">
        <v>19</v>
      </c>
      <c r="M79" s="13">
        <v>119752</v>
      </c>
    </row>
    <row r="80" spans="1:13" ht="27.6">
      <c r="A80" s="10">
        <v>2008</v>
      </c>
      <c r="B80" s="11" t="s">
        <v>96</v>
      </c>
      <c r="C80" s="11" t="s">
        <v>208</v>
      </c>
      <c r="D80" s="10">
        <v>252</v>
      </c>
      <c r="E80" s="11" t="s">
        <v>209</v>
      </c>
      <c r="F80" s="37" t="s">
        <v>174</v>
      </c>
      <c r="G80" s="37" t="s">
        <v>1121</v>
      </c>
      <c r="H80" s="11" t="s">
        <v>165</v>
      </c>
      <c r="I80" s="13">
        <v>187708</v>
      </c>
      <c r="J80" s="12">
        <v>22284</v>
      </c>
      <c r="K80" s="37">
        <v>0.44529999999999997</v>
      </c>
      <c r="L80" s="37" t="s">
        <v>19</v>
      </c>
      <c r="M80" s="12">
        <v>121455</v>
      </c>
    </row>
    <row r="81" spans="1:13" ht="27.6">
      <c r="A81" s="10">
        <v>2008</v>
      </c>
      <c r="B81" s="11" t="s">
        <v>96</v>
      </c>
      <c r="C81" s="11" t="s">
        <v>210</v>
      </c>
      <c r="D81" s="10">
        <v>261</v>
      </c>
      <c r="E81" s="11" t="s">
        <v>211</v>
      </c>
      <c r="F81" s="37" t="s">
        <v>174</v>
      </c>
      <c r="G81" s="37" t="s">
        <v>1121</v>
      </c>
      <c r="H81" s="11" t="s">
        <v>165</v>
      </c>
      <c r="I81" s="13">
        <v>149495</v>
      </c>
      <c r="J81" s="12">
        <v>14464</v>
      </c>
      <c r="K81" s="37">
        <v>0.47099999999999997</v>
      </c>
      <c r="L81" s="37" t="s">
        <v>19</v>
      </c>
      <c r="M81" s="12">
        <v>96133</v>
      </c>
    </row>
    <row r="82" spans="1:13" ht="27.6">
      <c r="A82" s="10">
        <v>2008</v>
      </c>
      <c r="B82" s="11" t="s">
        <v>96</v>
      </c>
      <c r="C82" s="11" t="s">
        <v>212</v>
      </c>
      <c r="D82" s="10">
        <v>268</v>
      </c>
      <c r="E82" s="11" t="s">
        <v>213</v>
      </c>
      <c r="F82" s="37" t="s">
        <v>174</v>
      </c>
      <c r="G82" s="37" t="s">
        <v>1117</v>
      </c>
      <c r="H82" s="11" t="s">
        <v>32</v>
      </c>
      <c r="I82" s="13">
        <v>159817</v>
      </c>
      <c r="J82" s="12">
        <v>4118</v>
      </c>
      <c r="K82" s="37">
        <v>0.35759999999999997</v>
      </c>
      <c r="L82" s="37" t="s">
        <v>107</v>
      </c>
      <c r="M82" s="13">
        <v>110894</v>
      </c>
    </row>
    <row r="83" spans="1:13" ht="27.6">
      <c r="A83" s="10">
        <v>2008</v>
      </c>
      <c r="B83" s="11" t="s">
        <v>96</v>
      </c>
      <c r="C83" s="11" t="s">
        <v>214</v>
      </c>
      <c r="D83" s="10">
        <v>291</v>
      </c>
      <c r="E83" s="11" t="s">
        <v>215</v>
      </c>
      <c r="F83" s="37" t="s">
        <v>174</v>
      </c>
      <c r="G83" s="37" t="s">
        <v>1121</v>
      </c>
      <c r="H83" s="11" t="s">
        <v>165</v>
      </c>
      <c r="I83" s="13">
        <v>163195</v>
      </c>
      <c r="J83" s="12">
        <v>3924</v>
      </c>
      <c r="K83" s="37">
        <v>0.39269999999999999</v>
      </c>
      <c r="L83" s="37" t="s">
        <v>107</v>
      </c>
      <c r="M83" s="13">
        <v>116810</v>
      </c>
    </row>
    <row r="84" spans="1:13" ht="27.6">
      <c r="A84" s="10">
        <v>2011</v>
      </c>
      <c r="B84" s="11" t="s">
        <v>96</v>
      </c>
      <c r="C84" t="s">
        <v>216</v>
      </c>
      <c r="D84" s="10">
        <v>248</v>
      </c>
      <c r="E84" t="s">
        <v>217</v>
      </c>
      <c r="F84" s="37" t="s">
        <v>178</v>
      </c>
      <c r="G84" s="37" t="s">
        <v>1122</v>
      </c>
      <c r="H84" s="11" t="s">
        <v>219</v>
      </c>
      <c r="I84" s="13">
        <v>189246</v>
      </c>
      <c r="J84" s="12">
        <v>81373</v>
      </c>
      <c r="K84" s="37">
        <v>0.70089999999999997</v>
      </c>
      <c r="L84" s="37" t="s">
        <v>19</v>
      </c>
      <c r="M84" s="13">
        <v>157098</v>
      </c>
    </row>
    <row r="85" spans="1:13" ht="27.6">
      <c r="A85" s="10">
        <v>2011</v>
      </c>
      <c r="B85" s="11" t="s">
        <v>96</v>
      </c>
      <c r="C85" t="s">
        <v>220</v>
      </c>
      <c r="D85" s="10">
        <v>14</v>
      </c>
      <c r="E85" t="s">
        <v>221</v>
      </c>
      <c r="F85" s="37" t="s">
        <v>174</v>
      </c>
      <c r="G85" s="37" t="s">
        <v>1121</v>
      </c>
      <c r="H85" s="11" t="s">
        <v>222</v>
      </c>
      <c r="I85" s="13">
        <v>159732</v>
      </c>
      <c r="J85" s="12">
        <v>49889</v>
      </c>
      <c r="K85" s="37">
        <v>0.67749999999999999</v>
      </c>
      <c r="L85" s="37" t="s">
        <v>19</v>
      </c>
      <c r="M85" s="13">
        <v>122871</v>
      </c>
    </row>
    <row r="86" spans="1:13" ht="27.6">
      <c r="A86" s="10">
        <v>2009</v>
      </c>
      <c r="B86" s="11" t="s">
        <v>96</v>
      </c>
      <c r="C86" t="s">
        <v>223</v>
      </c>
      <c r="D86" s="10">
        <v>122</v>
      </c>
      <c r="E86" t="s">
        <v>224</v>
      </c>
      <c r="F86" s="37" t="s">
        <v>178</v>
      </c>
      <c r="G86" s="37" t="s">
        <v>181</v>
      </c>
      <c r="H86" s="11" t="s">
        <v>225</v>
      </c>
      <c r="I86" s="13">
        <v>179606</v>
      </c>
      <c r="J86" s="12">
        <v>7173</v>
      </c>
      <c r="K86" s="37">
        <v>0.44540000000000002</v>
      </c>
      <c r="L86" s="37" t="s">
        <v>19</v>
      </c>
      <c r="M86" s="13">
        <v>133041</v>
      </c>
    </row>
    <row r="87" spans="1:13" ht="27.6">
      <c r="A87" s="10">
        <v>2010</v>
      </c>
      <c r="B87" s="11" t="s">
        <v>96</v>
      </c>
      <c r="C87" t="s">
        <v>226</v>
      </c>
      <c r="D87" s="10">
        <v>1</v>
      </c>
      <c r="E87" t="s">
        <v>227</v>
      </c>
      <c r="F87" s="37" t="s">
        <v>174</v>
      </c>
      <c r="G87" s="37" t="s">
        <v>1121</v>
      </c>
      <c r="H87" s="11" t="s">
        <v>222</v>
      </c>
      <c r="I87" s="13">
        <v>155377</v>
      </c>
      <c r="J87" s="12">
        <v>15229</v>
      </c>
      <c r="K87" s="37">
        <v>0.44269999999999998</v>
      </c>
      <c r="L87" s="37" t="s">
        <v>19</v>
      </c>
      <c r="M87" s="13">
        <v>127084</v>
      </c>
    </row>
    <row r="88" spans="1:13" ht="27.6">
      <c r="A88" s="10">
        <v>2010</v>
      </c>
      <c r="B88" s="11" t="s">
        <v>96</v>
      </c>
      <c r="C88" t="s">
        <v>228</v>
      </c>
      <c r="D88" s="10">
        <v>2</v>
      </c>
      <c r="E88" t="s">
        <v>229</v>
      </c>
      <c r="F88" s="37" t="s">
        <v>174</v>
      </c>
      <c r="G88" s="37" t="s">
        <v>1121</v>
      </c>
      <c r="H88" s="11" t="s">
        <v>222</v>
      </c>
      <c r="I88" s="13">
        <v>149252</v>
      </c>
      <c r="J88" s="12">
        <v>44284</v>
      </c>
      <c r="K88" s="37">
        <v>0.60450000000000004</v>
      </c>
      <c r="L88" s="37" t="s">
        <v>107</v>
      </c>
      <c r="M88" s="13">
        <v>112300</v>
      </c>
    </row>
    <row r="89" spans="1:13" ht="27.6">
      <c r="A89" s="10">
        <v>2010</v>
      </c>
      <c r="B89" s="11" t="s">
        <v>96</v>
      </c>
      <c r="C89" t="s">
        <v>230</v>
      </c>
      <c r="D89" s="10">
        <v>4</v>
      </c>
      <c r="E89" t="s">
        <v>231</v>
      </c>
      <c r="F89" s="37" t="s">
        <v>174</v>
      </c>
      <c r="G89" s="37" t="s">
        <v>1121</v>
      </c>
      <c r="H89" s="11" t="s">
        <v>222</v>
      </c>
      <c r="I89" s="13">
        <v>202384</v>
      </c>
      <c r="J89" s="12">
        <v>78047</v>
      </c>
      <c r="K89" s="37">
        <v>0.73170000000000002</v>
      </c>
      <c r="L89" s="37" t="s">
        <v>19</v>
      </c>
      <c r="M89" s="13">
        <v>130251</v>
      </c>
    </row>
    <row r="90" spans="1:13" ht="27.6">
      <c r="A90" s="10">
        <v>2010</v>
      </c>
      <c r="B90" s="11" t="s">
        <v>96</v>
      </c>
      <c r="C90" t="s">
        <v>198</v>
      </c>
      <c r="D90" s="10">
        <v>15</v>
      </c>
      <c r="E90" t="s">
        <v>232</v>
      </c>
      <c r="F90" s="37" t="s">
        <v>174</v>
      </c>
      <c r="G90" s="37" t="s">
        <v>1121</v>
      </c>
      <c r="H90" s="11" t="s">
        <v>222</v>
      </c>
      <c r="I90" s="13">
        <v>190358</v>
      </c>
      <c r="J90" s="12">
        <v>37662</v>
      </c>
      <c r="K90" s="37">
        <v>0.52300000000000002</v>
      </c>
      <c r="L90" s="37" t="s">
        <v>19</v>
      </c>
      <c r="M90" s="13">
        <v>138610</v>
      </c>
    </row>
    <row r="91" spans="1:13" ht="27.6">
      <c r="A91" s="10">
        <v>2010</v>
      </c>
      <c r="B91" s="11" t="s">
        <v>96</v>
      </c>
      <c r="C91" t="s">
        <v>233</v>
      </c>
      <c r="D91" s="10">
        <v>17</v>
      </c>
      <c r="E91" t="s">
        <v>234</v>
      </c>
      <c r="F91" s="37" t="s">
        <v>174</v>
      </c>
      <c r="G91" s="37" t="s">
        <v>502</v>
      </c>
      <c r="H91" s="11" t="s">
        <v>235</v>
      </c>
      <c r="I91" s="13">
        <v>267338</v>
      </c>
      <c r="J91" s="12">
        <v>11981</v>
      </c>
      <c r="K91" s="37">
        <v>0.53120000000000001</v>
      </c>
      <c r="L91" s="37" t="s">
        <v>19</v>
      </c>
      <c r="M91" s="13">
        <v>120822</v>
      </c>
    </row>
    <row r="92" spans="1:13" ht="27.6">
      <c r="A92" s="10">
        <v>2010</v>
      </c>
      <c r="B92" s="11" t="s">
        <v>96</v>
      </c>
      <c r="C92" t="s">
        <v>236</v>
      </c>
      <c r="D92" s="10">
        <v>20</v>
      </c>
      <c r="E92" t="s">
        <v>237</v>
      </c>
      <c r="F92" s="37" t="s">
        <v>174</v>
      </c>
      <c r="G92" s="37" t="s">
        <v>1121</v>
      </c>
      <c r="H92" s="11" t="s">
        <v>222</v>
      </c>
      <c r="I92" s="13">
        <v>193557</v>
      </c>
      <c r="J92" s="12">
        <v>56525</v>
      </c>
      <c r="K92" s="37">
        <v>0.64680000000000004</v>
      </c>
      <c r="L92" s="37" t="s">
        <v>19</v>
      </c>
      <c r="M92" s="13">
        <v>124453</v>
      </c>
    </row>
    <row r="93" spans="1:13" ht="27.6">
      <c r="A93" s="10">
        <v>2010</v>
      </c>
      <c r="B93" s="11" t="s">
        <v>96</v>
      </c>
      <c r="C93" t="s">
        <v>238</v>
      </c>
      <c r="D93" s="10">
        <v>22</v>
      </c>
      <c r="E93" t="s">
        <v>239</v>
      </c>
      <c r="F93" s="37" t="s">
        <v>174</v>
      </c>
      <c r="G93" s="37" t="s">
        <v>1121</v>
      </c>
      <c r="H93" s="11" t="s">
        <v>222</v>
      </c>
      <c r="I93" s="13">
        <v>191950</v>
      </c>
      <c r="J93" s="12">
        <v>58891</v>
      </c>
      <c r="K93" s="37">
        <v>0.67969999999999997</v>
      </c>
      <c r="L93" s="37" t="s">
        <v>107</v>
      </c>
      <c r="M93" s="13">
        <v>127577</v>
      </c>
    </row>
    <row r="94" spans="1:13" ht="27.6">
      <c r="A94" s="10">
        <v>2010</v>
      </c>
      <c r="B94" s="11" t="s">
        <v>96</v>
      </c>
      <c r="C94" t="s">
        <v>240</v>
      </c>
      <c r="D94" s="10">
        <v>28</v>
      </c>
      <c r="E94" t="s">
        <v>241</v>
      </c>
      <c r="F94" s="37" t="s">
        <v>174</v>
      </c>
      <c r="G94" s="37" t="s">
        <v>1121</v>
      </c>
      <c r="H94" s="11" t="s">
        <v>222</v>
      </c>
      <c r="I94" s="13">
        <v>184652</v>
      </c>
      <c r="J94" s="12">
        <v>50451</v>
      </c>
      <c r="K94" s="37">
        <v>0.6542</v>
      </c>
      <c r="L94" s="37" t="s">
        <v>19</v>
      </c>
      <c r="M94" s="13">
        <v>120987</v>
      </c>
    </row>
    <row r="95" spans="1:13" ht="27.6">
      <c r="A95" s="10">
        <v>2010</v>
      </c>
      <c r="B95" s="11" t="s">
        <v>96</v>
      </c>
      <c r="C95" t="s">
        <v>242</v>
      </c>
      <c r="D95" s="10">
        <v>29</v>
      </c>
      <c r="E95" t="s">
        <v>243</v>
      </c>
      <c r="F95" s="37" t="s">
        <v>174</v>
      </c>
      <c r="G95" s="37" t="s">
        <v>1121</v>
      </c>
      <c r="H95" s="11" t="s">
        <v>222</v>
      </c>
      <c r="I95" s="13">
        <v>211463</v>
      </c>
      <c r="J95" s="12">
        <v>68219</v>
      </c>
      <c r="K95" s="37">
        <v>0.66049999999999998</v>
      </c>
      <c r="L95" s="37" t="s">
        <v>19</v>
      </c>
      <c r="M95" s="13">
        <v>133039</v>
      </c>
    </row>
    <row r="96" spans="1:13" ht="27.6">
      <c r="A96" s="10">
        <v>2010</v>
      </c>
      <c r="B96" s="11" t="s">
        <v>96</v>
      </c>
      <c r="C96" t="s">
        <v>206</v>
      </c>
      <c r="D96" s="10">
        <v>31</v>
      </c>
      <c r="E96" t="s">
        <v>244</v>
      </c>
      <c r="F96" s="37" t="s">
        <v>174</v>
      </c>
      <c r="G96" s="37" t="s">
        <v>1121</v>
      </c>
      <c r="H96" s="11" t="s">
        <v>222</v>
      </c>
      <c r="I96" s="13">
        <v>202359</v>
      </c>
      <c r="J96" s="12">
        <v>79227</v>
      </c>
      <c r="K96" s="37">
        <v>0.67359999999999998</v>
      </c>
      <c r="L96" s="37" t="s">
        <v>19</v>
      </c>
      <c r="M96" s="13">
        <v>138105</v>
      </c>
    </row>
    <row r="97" spans="1:13" ht="27.6">
      <c r="A97" s="10">
        <v>2010</v>
      </c>
      <c r="B97" s="11" t="s">
        <v>96</v>
      </c>
      <c r="C97" t="s">
        <v>162</v>
      </c>
      <c r="D97" s="10">
        <v>33</v>
      </c>
      <c r="E97" t="s">
        <v>245</v>
      </c>
      <c r="F97" s="37" t="s">
        <v>174</v>
      </c>
      <c r="G97" s="37" t="s">
        <v>1121</v>
      </c>
      <c r="H97" s="11" t="s">
        <v>222</v>
      </c>
      <c r="I97" s="13">
        <v>186329</v>
      </c>
      <c r="J97" s="12">
        <v>95878</v>
      </c>
      <c r="K97" s="37">
        <v>0.8216</v>
      </c>
      <c r="L97" s="37" t="s">
        <v>19</v>
      </c>
      <c r="M97" s="13">
        <v>132422</v>
      </c>
    </row>
    <row r="98" spans="1:13" ht="27.6">
      <c r="A98" s="10">
        <v>2010</v>
      </c>
      <c r="B98" s="11" t="s">
        <v>96</v>
      </c>
      <c r="C98" t="s">
        <v>246</v>
      </c>
      <c r="D98" s="10">
        <v>105</v>
      </c>
      <c r="E98" t="s">
        <v>247</v>
      </c>
      <c r="F98" s="37" t="s">
        <v>174</v>
      </c>
      <c r="G98" s="37" t="s">
        <v>1121</v>
      </c>
      <c r="H98" s="11" t="s">
        <v>222</v>
      </c>
      <c r="I98" s="13">
        <v>224209</v>
      </c>
      <c r="J98" s="12">
        <v>67524</v>
      </c>
      <c r="K98" s="37">
        <v>0.74850000000000005</v>
      </c>
      <c r="L98" s="37" t="s">
        <v>19</v>
      </c>
      <c r="M98" s="13">
        <v>118171</v>
      </c>
    </row>
    <row r="99" spans="1:13" ht="27.6">
      <c r="A99" s="10">
        <v>2009</v>
      </c>
      <c r="B99" s="11" t="s">
        <v>96</v>
      </c>
      <c r="C99" t="s">
        <v>223</v>
      </c>
      <c r="D99" s="10">
        <v>122</v>
      </c>
      <c r="E99" t="s">
        <v>224</v>
      </c>
      <c r="F99" s="37" t="s">
        <v>178</v>
      </c>
      <c r="G99" s="37" t="s">
        <v>181</v>
      </c>
      <c r="H99" s="11" t="s">
        <v>225</v>
      </c>
      <c r="I99" s="13">
        <v>179606</v>
      </c>
      <c r="J99" s="12">
        <v>7173</v>
      </c>
      <c r="K99" s="37">
        <v>0.44540000000000002</v>
      </c>
      <c r="L99" s="37" t="s">
        <v>19</v>
      </c>
      <c r="M99" s="13">
        <v>133041</v>
      </c>
    </row>
    <row r="100" spans="1:13" ht="27.6">
      <c r="A100" s="10">
        <v>2009</v>
      </c>
      <c r="B100" s="11" t="s">
        <v>96</v>
      </c>
      <c r="C100" t="s">
        <v>216</v>
      </c>
      <c r="D100" s="10">
        <v>248</v>
      </c>
      <c r="E100" t="s">
        <v>217</v>
      </c>
      <c r="F100" s="37" t="s">
        <v>178</v>
      </c>
      <c r="G100" s="37" t="s">
        <v>181</v>
      </c>
      <c r="H100" s="11" t="s">
        <v>225</v>
      </c>
      <c r="I100" s="13">
        <v>189246</v>
      </c>
      <c r="J100" s="10">
        <v>77510</v>
      </c>
      <c r="K100" s="37">
        <v>1</v>
      </c>
      <c r="L100" s="37" t="s">
        <v>19</v>
      </c>
      <c r="M100" s="21">
        <v>133041</v>
      </c>
    </row>
    <row r="101" spans="1:13" ht="27.6">
      <c r="A101" s="10">
        <v>2014</v>
      </c>
      <c r="B101" s="11" t="s">
        <v>96</v>
      </c>
      <c r="C101" t="s">
        <v>248</v>
      </c>
      <c r="D101" s="10">
        <v>188</v>
      </c>
      <c r="E101" t="s">
        <v>249</v>
      </c>
      <c r="F101" s="37" t="s">
        <v>178</v>
      </c>
      <c r="G101" s="37" t="s">
        <v>1117</v>
      </c>
      <c r="H101" s="11" t="s">
        <v>250</v>
      </c>
      <c r="I101" s="13">
        <v>184511</v>
      </c>
      <c r="J101" s="12">
        <v>74827</v>
      </c>
      <c r="K101" s="37">
        <v>0.70179999999999998</v>
      </c>
      <c r="L101" s="37" t="s">
        <v>107</v>
      </c>
      <c r="M101" s="13">
        <v>140685</v>
      </c>
    </row>
    <row r="102" spans="1:13" ht="27.6">
      <c r="A102" s="10">
        <v>2014</v>
      </c>
      <c r="B102" s="11" t="s">
        <v>96</v>
      </c>
      <c r="C102" t="s">
        <v>135</v>
      </c>
      <c r="D102" s="10">
        <v>253</v>
      </c>
      <c r="E102" t="s">
        <v>251</v>
      </c>
      <c r="F102" s="37" t="s">
        <v>178</v>
      </c>
      <c r="G102" s="37" t="s">
        <v>1122</v>
      </c>
      <c r="H102" s="11" t="s">
        <v>219</v>
      </c>
      <c r="I102" s="13">
        <v>205624</v>
      </c>
      <c r="J102" s="10">
        <v>115420</v>
      </c>
      <c r="K102" s="37">
        <v>1</v>
      </c>
      <c r="L102" s="37" t="s">
        <v>19</v>
      </c>
      <c r="M102" s="10">
        <v>145858</v>
      </c>
    </row>
    <row r="103" spans="1:13" ht="27.6">
      <c r="A103" s="10">
        <v>2015</v>
      </c>
      <c r="B103" s="11" t="s">
        <v>96</v>
      </c>
      <c r="C103" t="s">
        <v>252</v>
      </c>
      <c r="D103" s="10">
        <v>167</v>
      </c>
      <c r="E103" t="s">
        <v>253</v>
      </c>
      <c r="F103" s="37" t="s">
        <v>178</v>
      </c>
      <c r="G103" s="37" t="s">
        <v>1117</v>
      </c>
      <c r="H103" s="11" t="s">
        <v>250</v>
      </c>
      <c r="I103" s="13">
        <v>294993</v>
      </c>
      <c r="J103" s="13">
        <v>116524</v>
      </c>
      <c r="K103" s="37">
        <v>0.86960000000000004</v>
      </c>
      <c r="L103" s="37" t="s">
        <v>19</v>
      </c>
      <c r="M103" s="13">
        <v>145064</v>
      </c>
    </row>
    <row r="104" spans="1:13" ht="27.6">
      <c r="A104" s="10">
        <v>2015</v>
      </c>
      <c r="B104" s="11" t="s">
        <v>96</v>
      </c>
      <c r="C104" t="s">
        <v>254</v>
      </c>
      <c r="D104" s="10">
        <v>135</v>
      </c>
      <c r="E104" t="s">
        <v>255</v>
      </c>
      <c r="F104" s="37" t="s">
        <v>174</v>
      </c>
      <c r="G104" s="37" t="s">
        <v>181</v>
      </c>
      <c r="H104" s="11" t="s">
        <v>225</v>
      </c>
      <c r="I104" s="13">
        <v>198294</v>
      </c>
      <c r="J104" s="12">
        <v>3924</v>
      </c>
      <c r="K104" s="37">
        <v>0.41520000000000001</v>
      </c>
      <c r="L104" s="37" t="s">
        <v>19</v>
      </c>
      <c r="M104" s="13">
        <v>151002</v>
      </c>
    </row>
    <row r="105" spans="1:13" ht="27.6">
      <c r="A105" s="10">
        <v>2017</v>
      </c>
      <c r="B105" s="11" t="s">
        <v>96</v>
      </c>
      <c r="C105" t="s">
        <v>256</v>
      </c>
      <c r="D105" s="10">
        <v>139</v>
      </c>
      <c r="E105" t="s">
        <v>257</v>
      </c>
      <c r="F105" s="37" t="s">
        <v>174</v>
      </c>
      <c r="G105" s="37" t="s">
        <v>1117</v>
      </c>
      <c r="H105" s="11" t="s">
        <v>250</v>
      </c>
      <c r="I105" s="13">
        <v>219108</v>
      </c>
      <c r="J105" s="12">
        <v>27466</v>
      </c>
      <c r="K105" s="37">
        <v>0.5605</v>
      </c>
      <c r="L105" s="37" t="s">
        <v>19</v>
      </c>
      <c r="M105" s="13">
        <v>171956</v>
      </c>
    </row>
    <row r="106" spans="1:13" ht="27.6">
      <c r="A106" s="10">
        <v>2021</v>
      </c>
      <c r="B106" s="11" t="s">
        <v>96</v>
      </c>
      <c r="C106" t="s">
        <v>158</v>
      </c>
      <c r="D106" s="10">
        <v>124</v>
      </c>
      <c r="E106" t="s">
        <v>258</v>
      </c>
      <c r="F106" s="37" t="s">
        <v>178</v>
      </c>
      <c r="G106" s="37" t="s">
        <v>1122</v>
      </c>
      <c r="H106" s="11" t="s">
        <v>219</v>
      </c>
      <c r="I106" s="13">
        <v>216206</v>
      </c>
      <c r="J106" s="12">
        <v>90533</v>
      </c>
      <c r="K106" s="37">
        <v>0.78190000000000004</v>
      </c>
      <c r="L106" s="37" t="s">
        <v>107</v>
      </c>
      <c r="M106" s="13">
        <v>143513</v>
      </c>
    </row>
    <row r="107" spans="1:13" ht="27.6">
      <c r="A107" s="10">
        <v>2022</v>
      </c>
      <c r="B107" s="11" t="s">
        <v>96</v>
      </c>
      <c r="C107" t="s">
        <v>259</v>
      </c>
      <c r="D107" s="10">
        <v>115</v>
      </c>
      <c r="E107" t="s">
        <v>260</v>
      </c>
      <c r="F107" s="37" t="s">
        <v>174</v>
      </c>
      <c r="G107" s="37" t="s">
        <v>1122</v>
      </c>
      <c r="H107" s="11" t="s">
        <v>219</v>
      </c>
      <c r="I107" s="13">
        <v>213400</v>
      </c>
      <c r="J107" s="12">
        <v>82888</v>
      </c>
      <c r="K107" s="37">
        <v>0.7681</v>
      </c>
      <c r="L107" s="37" t="s">
        <v>19</v>
      </c>
      <c r="M107" s="13">
        <v>133107</v>
      </c>
    </row>
    <row r="108" spans="1:13" ht="27.6">
      <c r="A108" s="10">
        <v>1996</v>
      </c>
      <c r="B108" s="11" t="s">
        <v>261</v>
      </c>
      <c r="C108" s="11" t="s">
        <v>262</v>
      </c>
      <c r="D108" s="10">
        <v>29</v>
      </c>
      <c r="E108" t="s">
        <v>263</v>
      </c>
      <c r="F108" s="37" t="s">
        <v>174</v>
      </c>
      <c r="G108" s="37" t="s">
        <v>409</v>
      </c>
      <c r="H108" s="11" t="s">
        <v>409</v>
      </c>
      <c r="I108" s="11">
        <v>198650</v>
      </c>
      <c r="J108" s="19">
        <v>82888</v>
      </c>
      <c r="K108" s="37">
        <v>0.7681</v>
      </c>
      <c r="L108" s="37" t="s">
        <v>22</v>
      </c>
      <c r="M108" s="10">
        <v>459420</v>
      </c>
    </row>
    <row r="109" spans="1:13" ht="27.6">
      <c r="A109" s="10">
        <v>1996</v>
      </c>
      <c r="B109" s="11" t="s">
        <v>261</v>
      </c>
      <c r="C109" s="11" t="s">
        <v>264</v>
      </c>
      <c r="D109" s="10">
        <v>54</v>
      </c>
      <c r="E109" s="11" t="s">
        <v>265</v>
      </c>
      <c r="F109" s="37" t="s">
        <v>174</v>
      </c>
      <c r="G109" s="37" t="s">
        <v>181</v>
      </c>
      <c r="H109" s="11" t="s">
        <v>26</v>
      </c>
      <c r="I109" s="12">
        <v>7742</v>
      </c>
      <c r="J109" s="10">
        <v>108</v>
      </c>
      <c r="K109" s="37">
        <v>0.50949999999999995</v>
      </c>
      <c r="L109" s="37" t="s">
        <v>22</v>
      </c>
      <c r="M109" s="12">
        <v>5758</v>
      </c>
    </row>
    <row r="110" spans="1:13" ht="41.4">
      <c r="A110" s="10">
        <v>2001</v>
      </c>
      <c r="B110" s="11" t="s">
        <v>261</v>
      </c>
      <c r="C110" s="11" t="s">
        <v>266</v>
      </c>
      <c r="D110" s="10">
        <v>12</v>
      </c>
      <c r="E110" s="11" t="s">
        <v>267</v>
      </c>
      <c r="F110" s="37" t="s">
        <v>178</v>
      </c>
      <c r="G110" s="37" t="s">
        <v>181</v>
      </c>
      <c r="H110" s="11" t="s">
        <v>26</v>
      </c>
      <c r="I110" s="12">
        <v>6728</v>
      </c>
      <c r="J110" s="12">
        <v>1223</v>
      </c>
      <c r="K110" s="37">
        <v>0.62580000000000002</v>
      </c>
      <c r="L110" s="37" t="s">
        <v>22</v>
      </c>
      <c r="M110" s="12">
        <v>5010</v>
      </c>
    </row>
    <row r="111" spans="1:13" ht="27.6">
      <c r="A111" s="10">
        <v>2002</v>
      </c>
      <c r="B111" s="11" t="s">
        <v>261</v>
      </c>
      <c r="C111" s="11" t="s">
        <v>268</v>
      </c>
      <c r="D111" s="10">
        <v>24</v>
      </c>
      <c r="E111" s="11" t="s">
        <v>269</v>
      </c>
      <c r="F111" s="37" t="s">
        <v>178</v>
      </c>
      <c r="G111" s="37" t="s">
        <v>181</v>
      </c>
      <c r="H111" s="11" t="s">
        <v>26</v>
      </c>
      <c r="I111" s="12">
        <v>14951</v>
      </c>
      <c r="J111" s="12">
        <v>2952</v>
      </c>
      <c r="K111" s="37">
        <v>0.65810000000000002</v>
      </c>
      <c r="L111" s="37" t="s">
        <v>22</v>
      </c>
      <c r="M111" s="12">
        <v>9331</v>
      </c>
    </row>
    <row r="112" spans="1:13" ht="27.6">
      <c r="A112" s="10">
        <v>2004</v>
      </c>
      <c r="B112" s="11" t="s">
        <v>261</v>
      </c>
      <c r="C112" s="11" t="s">
        <v>270</v>
      </c>
      <c r="D112" s="10">
        <v>43</v>
      </c>
      <c r="E112" s="11" t="s">
        <v>271</v>
      </c>
      <c r="F112" s="37" t="s">
        <v>174</v>
      </c>
      <c r="G112" s="37" t="s">
        <v>181</v>
      </c>
      <c r="H112" s="11" t="s">
        <v>26</v>
      </c>
      <c r="I112" s="12">
        <v>9938</v>
      </c>
      <c r="J112" s="12">
        <v>1337</v>
      </c>
      <c r="K112" s="37">
        <v>0.60550000000000004</v>
      </c>
      <c r="L112" s="37" t="s">
        <v>22</v>
      </c>
      <c r="M112" s="12">
        <v>6337</v>
      </c>
    </row>
    <row r="113" spans="1:13" ht="27.6">
      <c r="A113" s="10">
        <v>2009</v>
      </c>
      <c r="B113" s="11" t="s">
        <v>261</v>
      </c>
      <c r="C113" s="11" t="s">
        <v>272</v>
      </c>
      <c r="D113" s="10">
        <v>1</v>
      </c>
      <c r="E113" s="11" t="s">
        <v>273</v>
      </c>
      <c r="F113" s="37" t="s">
        <v>174</v>
      </c>
      <c r="G113" s="37" t="s">
        <v>181</v>
      </c>
      <c r="H113" s="11" t="s">
        <v>26</v>
      </c>
      <c r="I113" s="12">
        <v>8022</v>
      </c>
      <c r="J113" s="11" t="s">
        <v>79</v>
      </c>
      <c r="K113" s="37">
        <v>1202</v>
      </c>
      <c r="L113" s="37" t="s">
        <v>22</v>
      </c>
      <c r="M113" s="10">
        <v>245150</v>
      </c>
    </row>
    <row r="114" spans="1:13" ht="27.6">
      <c r="A114" s="10">
        <v>2009</v>
      </c>
      <c r="B114" s="11" t="s">
        <v>261</v>
      </c>
      <c r="C114" s="11" t="s">
        <v>274</v>
      </c>
      <c r="D114" s="10">
        <v>2</v>
      </c>
      <c r="E114" s="11" t="s">
        <v>275</v>
      </c>
      <c r="F114" s="37" t="s">
        <v>174</v>
      </c>
      <c r="G114" s="37" t="s">
        <v>181</v>
      </c>
      <c r="H114" s="11" t="s">
        <v>26</v>
      </c>
      <c r="I114" s="12">
        <v>9812</v>
      </c>
      <c r="J114" s="11" t="s">
        <v>79</v>
      </c>
      <c r="K114" s="37">
        <v>1202</v>
      </c>
      <c r="L114" s="37" t="s">
        <v>22</v>
      </c>
      <c r="M114" s="10">
        <v>115436</v>
      </c>
    </row>
    <row r="115" spans="1:13" ht="27.6">
      <c r="A115" s="10">
        <v>2009</v>
      </c>
      <c r="B115" s="11" t="s">
        <v>261</v>
      </c>
      <c r="C115" s="11" t="s">
        <v>276</v>
      </c>
      <c r="D115" s="10">
        <v>3</v>
      </c>
      <c r="E115" s="11" t="s">
        <v>277</v>
      </c>
      <c r="F115" s="37" t="s">
        <v>174</v>
      </c>
      <c r="G115" s="37" t="s">
        <v>181</v>
      </c>
      <c r="H115" s="11" t="s">
        <v>26</v>
      </c>
      <c r="I115" s="12">
        <v>6916</v>
      </c>
      <c r="J115" s="11" t="s">
        <v>79</v>
      </c>
      <c r="K115" s="37">
        <v>1202</v>
      </c>
      <c r="L115" s="37" t="s">
        <v>22</v>
      </c>
      <c r="M115" s="10">
        <v>25610</v>
      </c>
    </row>
    <row r="116" spans="1:13" ht="27.6">
      <c r="A116" s="10">
        <v>2009</v>
      </c>
      <c r="B116" s="11" t="s">
        <v>261</v>
      </c>
      <c r="C116" s="11" t="s">
        <v>278</v>
      </c>
      <c r="D116" s="10">
        <v>4</v>
      </c>
      <c r="E116" s="11" t="s">
        <v>279</v>
      </c>
      <c r="F116" s="37" t="s">
        <v>174</v>
      </c>
      <c r="G116" s="37" t="s">
        <v>1123</v>
      </c>
      <c r="H116" s="11" t="s">
        <v>280</v>
      </c>
      <c r="I116" s="12">
        <v>13760</v>
      </c>
      <c r="J116" s="12">
        <v>1533</v>
      </c>
      <c r="K116" s="37">
        <v>0.85099999999999998</v>
      </c>
      <c r="L116" s="37" t="s">
        <v>22</v>
      </c>
      <c r="M116" s="12">
        <v>11703</v>
      </c>
    </row>
    <row r="117" spans="1:13" ht="27.6">
      <c r="A117" s="10">
        <v>2009</v>
      </c>
      <c r="B117" s="11" t="s">
        <v>261</v>
      </c>
      <c r="C117" s="11" t="s">
        <v>281</v>
      </c>
      <c r="D117" s="10">
        <v>12</v>
      </c>
      <c r="E117" s="11" t="s">
        <v>282</v>
      </c>
      <c r="F117" s="37" t="s">
        <v>174</v>
      </c>
      <c r="G117" s="37" t="s">
        <v>181</v>
      </c>
      <c r="H117" s="11" t="s">
        <v>26</v>
      </c>
      <c r="I117" s="12">
        <v>6426</v>
      </c>
      <c r="J117" s="10">
        <v>67</v>
      </c>
      <c r="K117" s="37">
        <v>0.88700000000000001</v>
      </c>
      <c r="L117" s="37" t="s">
        <v>22</v>
      </c>
      <c r="M117" s="12">
        <v>5703</v>
      </c>
    </row>
    <row r="118" spans="1:13" ht="27.6">
      <c r="A118" s="10">
        <v>2009</v>
      </c>
      <c r="B118" s="11" t="s">
        <v>261</v>
      </c>
      <c r="C118" s="11" t="s">
        <v>283</v>
      </c>
      <c r="D118" s="10">
        <v>13</v>
      </c>
      <c r="E118" s="11" t="s">
        <v>284</v>
      </c>
      <c r="F118" s="37" t="s">
        <v>174</v>
      </c>
      <c r="G118" s="37" t="s">
        <v>1124</v>
      </c>
      <c r="H118" s="11" t="s">
        <v>87</v>
      </c>
      <c r="I118" s="12">
        <v>57979</v>
      </c>
      <c r="J118" s="12">
        <v>3386</v>
      </c>
      <c r="K118" s="37">
        <v>0.51</v>
      </c>
      <c r="L118" s="37" t="s">
        <v>22</v>
      </c>
      <c r="M118" s="12">
        <v>29556</v>
      </c>
    </row>
    <row r="119" spans="1:13" ht="27.6">
      <c r="A119" s="10">
        <v>2009</v>
      </c>
      <c r="B119" s="11" t="s">
        <v>261</v>
      </c>
      <c r="C119" s="11" t="s">
        <v>285</v>
      </c>
      <c r="D119" s="10">
        <v>15</v>
      </c>
      <c r="E119" s="11" t="s">
        <v>286</v>
      </c>
      <c r="F119" s="37" t="s">
        <v>174</v>
      </c>
      <c r="G119" s="37" t="s">
        <v>181</v>
      </c>
      <c r="H119" s="11" t="s">
        <v>26</v>
      </c>
      <c r="I119" s="12">
        <v>12005</v>
      </c>
      <c r="J119" s="12">
        <v>3692</v>
      </c>
      <c r="K119" s="37">
        <v>0.8</v>
      </c>
      <c r="L119" s="37" t="s">
        <v>22</v>
      </c>
      <c r="M119" s="12">
        <v>9600</v>
      </c>
    </row>
    <row r="120" spans="1:13" ht="27.6">
      <c r="A120" s="10">
        <v>2009</v>
      </c>
      <c r="B120" s="11" t="s">
        <v>261</v>
      </c>
      <c r="C120" s="11" t="s">
        <v>287</v>
      </c>
      <c r="D120" s="10">
        <v>24</v>
      </c>
      <c r="E120" s="11" t="s">
        <v>288</v>
      </c>
      <c r="F120" s="37" t="s">
        <v>174</v>
      </c>
      <c r="G120" s="37" t="s">
        <v>502</v>
      </c>
      <c r="H120" s="11" t="s">
        <v>39</v>
      </c>
      <c r="I120" s="12">
        <v>17152</v>
      </c>
      <c r="J120" s="12">
        <v>1203</v>
      </c>
      <c r="K120" s="37">
        <v>0.74399999999999999</v>
      </c>
      <c r="L120" s="37" t="s">
        <v>22</v>
      </c>
      <c r="M120" s="12">
        <v>12764</v>
      </c>
    </row>
    <row r="121" spans="1:13" ht="27.6">
      <c r="A121" s="10">
        <v>2009</v>
      </c>
      <c r="B121" s="11" t="s">
        <v>261</v>
      </c>
      <c r="C121" s="11" t="s">
        <v>289</v>
      </c>
      <c r="D121" s="10">
        <v>29</v>
      </c>
      <c r="E121" s="11" t="s">
        <v>290</v>
      </c>
      <c r="F121" s="37" t="s">
        <v>174</v>
      </c>
      <c r="G121" s="37" t="s">
        <v>181</v>
      </c>
      <c r="H121" s="11" t="s">
        <v>26</v>
      </c>
      <c r="I121" s="12">
        <v>16904</v>
      </c>
      <c r="J121" s="12">
        <v>3121</v>
      </c>
      <c r="K121" s="37">
        <v>0.82</v>
      </c>
      <c r="L121" s="37" t="s">
        <v>22</v>
      </c>
      <c r="M121" s="12">
        <v>13864</v>
      </c>
    </row>
    <row r="122" spans="1:13" ht="27.6">
      <c r="A122" s="10">
        <v>2009</v>
      </c>
      <c r="B122" s="11" t="s">
        <v>261</v>
      </c>
      <c r="C122" s="11" t="s">
        <v>270</v>
      </c>
      <c r="D122" s="10">
        <v>43</v>
      </c>
      <c r="E122" s="11" t="s">
        <v>291</v>
      </c>
      <c r="F122" s="37" t="s">
        <v>174</v>
      </c>
      <c r="G122" s="37" t="s">
        <v>1125</v>
      </c>
      <c r="H122" s="11" t="s">
        <v>292</v>
      </c>
      <c r="I122" s="12">
        <v>10420</v>
      </c>
      <c r="J122" s="12">
        <v>2872</v>
      </c>
      <c r="K122" s="37">
        <v>0.63800000000000001</v>
      </c>
      <c r="L122" s="37" t="s">
        <v>22</v>
      </c>
      <c r="M122" s="12">
        <v>8341</v>
      </c>
    </row>
    <row r="123" spans="1:13" ht="27.6">
      <c r="A123" s="10">
        <v>2009</v>
      </c>
      <c r="B123" s="11" t="s">
        <v>261</v>
      </c>
      <c r="C123" s="11" t="s">
        <v>293</v>
      </c>
      <c r="D123" s="10">
        <v>45</v>
      </c>
      <c r="E123" s="11" t="s">
        <v>294</v>
      </c>
      <c r="F123" s="37" t="s">
        <v>174</v>
      </c>
      <c r="G123" s="37" t="s">
        <v>181</v>
      </c>
      <c r="H123" s="11" t="s">
        <v>26</v>
      </c>
      <c r="I123" s="12">
        <v>11105</v>
      </c>
      <c r="J123" s="12">
        <v>8526</v>
      </c>
      <c r="K123" s="37">
        <v>0.88500000000000001</v>
      </c>
      <c r="L123" s="37" t="s">
        <v>22</v>
      </c>
      <c r="M123" s="12">
        <v>9600</v>
      </c>
    </row>
    <row r="124" spans="1:13" ht="27.6">
      <c r="A124" s="10">
        <v>2009</v>
      </c>
      <c r="B124" s="11" t="s">
        <v>261</v>
      </c>
      <c r="C124" s="11" t="s">
        <v>295</v>
      </c>
      <c r="D124" s="10">
        <v>54</v>
      </c>
      <c r="E124" s="11" t="s">
        <v>296</v>
      </c>
      <c r="F124" s="37" t="s">
        <v>174</v>
      </c>
      <c r="G124" s="37" t="s">
        <v>181</v>
      </c>
      <c r="H124" s="11" t="s">
        <v>26</v>
      </c>
      <c r="I124" s="12">
        <v>8420</v>
      </c>
      <c r="J124" s="12">
        <v>2311</v>
      </c>
      <c r="K124" s="37">
        <v>0.63700000000000001</v>
      </c>
      <c r="L124" s="37" t="s">
        <v>22</v>
      </c>
      <c r="M124" s="12">
        <v>6734</v>
      </c>
    </row>
    <row r="125" spans="1:13" ht="27.6">
      <c r="A125" s="10">
        <v>2011</v>
      </c>
      <c r="B125" s="11" t="s">
        <v>261</v>
      </c>
      <c r="C125" s="11" t="s">
        <v>297</v>
      </c>
      <c r="D125" s="10">
        <v>3</v>
      </c>
      <c r="E125" s="11" t="s">
        <v>298</v>
      </c>
      <c r="F125" s="37" t="s">
        <v>174</v>
      </c>
      <c r="G125" s="37" t="s">
        <v>181</v>
      </c>
      <c r="H125" s="11" t="s">
        <v>26</v>
      </c>
      <c r="I125" s="12">
        <v>6783</v>
      </c>
      <c r="J125" s="11">
        <v>5641</v>
      </c>
      <c r="K125" s="37">
        <v>0.45200000000000001</v>
      </c>
      <c r="L125" s="37" t="s">
        <v>22</v>
      </c>
      <c r="M125" s="19">
        <v>6734</v>
      </c>
    </row>
    <row r="126" spans="1:13" ht="27.6">
      <c r="A126" s="10">
        <v>2014</v>
      </c>
      <c r="B126" s="11" t="s">
        <v>261</v>
      </c>
      <c r="C126" s="11" t="s">
        <v>299</v>
      </c>
      <c r="D126" s="10">
        <v>58</v>
      </c>
      <c r="E126" s="11" t="s">
        <v>300</v>
      </c>
      <c r="F126" s="37" t="s">
        <v>174</v>
      </c>
      <c r="G126" s="37" t="s">
        <v>181</v>
      </c>
      <c r="H126" s="11" t="s">
        <v>26</v>
      </c>
      <c r="I126" s="12">
        <v>10406</v>
      </c>
      <c r="J126" s="10">
        <v>885</v>
      </c>
      <c r="K126" s="37">
        <v>0.54620000000000002</v>
      </c>
      <c r="L126" s="37" t="s">
        <v>22</v>
      </c>
      <c r="M126" s="21">
        <v>9577</v>
      </c>
    </row>
    <row r="127" spans="1:13" ht="27.6">
      <c r="A127" s="10">
        <v>2014</v>
      </c>
      <c r="B127" s="11" t="s">
        <v>261</v>
      </c>
      <c r="C127" s="11" t="s">
        <v>276</v>
      </c>
      <c r="D127" s="10">
        <v>3</v>
      </c>
      <c r="E127" s="11" t="s">
        <v>298</v>
      </c>
      <c r="F127" s="37" t="s">
        <v>174</v>
      </c>
      <c r="G127" s="37" t="s">
        <v>181</v>
      </c>
      <c r="H127" s="11" t="s">
        <v>26</v>
      </c>
      <c r="I127" s="12">
        <v>7120</v>
      </c>
      <c r="J127" s="11">
        <v>1120</v>
      </c>
      <c r="K127" s="37">
        <v>0.45200000000000001</v>
      </c>
      <c r="L127" s="37" t="s">
        <v>22</v>
      </c>
      <c r="M127" s="10">
        <v>12000</v>
      </c>
    </row>
    <row r="128" spans="1:13" ht="27.6">
      <c r="A128" s="10">
        <v>2014</v>
      </c>
      <c r="B128" s="11" t="s">
        <v>261</v>
      </c>
      <c r="C128" s="11" t="s">
        <v>278</v>
      </c>
      <c r="D128" s="10">
        <v>4</v>
      </c>
      <c r="E128" s="11" t="s">
        <v>279</v>
      </c>
      <c r="F128" s="37" t="s">
        <v>174</v>
      </c>
      <c r="G128" s="37" t="s">
        <v>181</v>
      </c>
      <c r="H128" s="11" t="s">
        <v>26</v>
      </c>
      <c r="I128" s="12">
        <v>13351</v>
      </c>
      <c r="J128" s="11">
        <v>853</v>
      </c>
      <c r="K128" s="37">
        <v>0.57999999999999996</v>
      </c>
      <c r="L128" s="37" t="s">
        <v>22</v>
      </c>
      <c r="M128" s="10">
        <v>8500</v>
      </c>
    </row>
    <row r="129" spans="1:13" ht="27.6">
      <c r="A129" s="10">
        <v>2014</v>
      </c>
      <c r="B129" s="11" t="s">
        <v>261</v>
      </c>
      <c r="C129" s="11" t="s">
        <v>301</v>
      </c>
      <c r="D129" s="10">
        <v>11</v>
      </c>
      <c r="E129" s="11" t="s">
        <v>302</v>
      </c>
      <c r="F129" s="37" t="s">
        <v>174</v>
      </c>
      <c r="G129" s="37" t="s">
        <v>181</v>
      </c>
      <c r="H129" s="11" t="s">
        <v>26</v>
      </c>
      <c r="I129" s="12">
        <v>6207</v>
      </c>
      <c r="J129" s="11">
        <v>2500</v>
      </c>
      <c r="K129" s="37">
        <v>0.251</v>
      </c>
      <c r="L129" s="37" t="s">
        <v>22</v>
      </c>
      <c r="M129" s="10">
        <v>8865</v>
      </c>
    </row>
    <row r="130" spans="1:13" ht="27.6">
      <c r="A130" s="10">
        <v>2014</v>
      </c>
      <c r="B130" s="11" t="s">
        <v>261</v>
      </c>
      <c r="C130" s="11" t="s">
        <v>303</v>
      </c>
      <c r="D130" s="10">
        <v>12</v>
      </c>
      <c r="E130" s="11" t="s">
        <v>304</v>
      </c>
      <c r="F130" s="37" t="s">
        <v>174</v>
      </c>
      <c r="G130" s="37" t="s">
        <v>181</v>
      </c>
      <c r="H130" s="11" t="s">
        <v>26</v>
      </c>
      <c r="I130" s="12">
        <v>6904</v>
      </c>
      <c r="J130" s="17">
        <v>2500</v>
      </c>
      <c r="K130" s="37">
        <v>0.45200000000000001</v>
      </c>
      <c r="L130" s="37" t="s">
        <v>22</v>
      </c>
      <c r="M130" s="10">
        <v>15140</v>
      </c>
    </row>
    <row r="131" spans="1:13" ht="27.6">
      <c r="A131" s="10">
        <v>2014</v>
      </c>
      <c r="B131" s="11" t="s">
        <v>261</v>
      </c>
      <c r="C131" s="11" t="s">
        <v>305</v>
      </c>
      <c r="D131" s="10">
        <v>14</v>
      </c>
      <c r="E131" s="11" t="s">
        <v>306</v>
      </c>
      <c r="F131" s="37" t="s">
        <v>174</v>
      </c>
      <c r="G131" s="37" t="s">
        <v>181</v>
      </c>
      <c r="H131" s="11" t="s">
        <v>26</v>
      </c>
      <c r="I131" s="12">
        <v>23474</v>
      </c>
      <c r="J131" s="11">
        <v>8520</v>
      </c>
      <c r="K131" s="37">
        <v>0.38100000000000001</v>
      </c>
      <c r="L131" s="37" t="s">
        <v>22</v>
      </c>
      <c r="M131" s="10">
        <v>38500</v>
      </c>
    </row>
    <row r="132" spans="1:13" ht="27.6">
      <c r="A132" s="10">
        <v>2014</v>
      </c>
      <c r="B132" s="11" t="s">
        <v>261</v>
      </c>
      <c r="C132" s="11" t="s">
        <v>285</v>
      </c>
      <c r="D132" s="10">
        <v>15</v>
      </c>
      <c r="E132" s="11" t="s">
        <v>286</v>
      </c>
      <c r="F132" s="37" t="s">
        <v>174</v>
      </c>
      <c r="G132" s="37" t="s">
        <v>181</v>
      </c>
      <c r="H132" s="11" t="s">
        <v>26</v>
      </c>
      <c r="I132" s="12">
        <v>12570</v>
      </c>
      <c r="J132" s="11">
        <v>5520</v>
      </c>
      <c r="K132" s="37">
        <v>0.502</v>
      </c>
      <c r="L132" s="37" t="s">
        <v>22</v>
      </c>
      <c r="M132" s="10">
        <v>25450</v>
      </c>
    </row>
    <row r="133" spans="1:13" ht="27.6">
      <c r="A133" s="10">
        <v>2014</v>
      </c>
      <c r="B133" s="11" t="s">
        <v>261</v>
      </c>
      <c r="C133" s="11" t="s">
        <v>307</v>
      </c>
      <c r="D133" s="10">
        <v>18</v>
      </c>
      <c r="E133" s="11" t="s">
        <v>308</v>
      </c>
      <c r="F133" s="37" t="s">
        <v>174</v>
      </c>
      <c r="G133" s="37" t="s">
        <v>181</v>
      </c>
      <c r="H133" s="11" t="s">
        <v>26</v>
      </c>
      <c r="I133" s="12">
        <v>13811</v>
      </c>
      <c r="J133" s="11">
        <v>4563</v>
      </c>
      <c r="K133" s="37">
        <v>0.29199999999999998</v>
      </c>
      <c r="L133" s="37" t="s">
        <v>22</v>
      </c>
      <c r="M133" s="10">
        <v>18560</v>
      </c>
    </row>
    <row r="134" spans="1:13" ht="27.6">
      <c r="A134" s="10">
        <v>2014</v>
      </c>
      <c r="B134" s="11" t="s">
        <v>261</v>
      </c>
      <c r="C134" s="11" t="s">
        <v>309</v>
      </c>
      <c r="D134" s="10">
        <v>19</v>
      </c>
      <c r="E134" s="11" t="s">
        <v>310</v>
      </c>
      <c r="F134" s="37" t="s">
        <v>174</v>
      </c>
      <c r="G134" s="37" t="s">
        <v>181</v>
      </c>
      <c r="H134" s="11" t="s">
        <v>26</v>
      </c>
      <c r="I134" s="12">
        <v>11632</v>
      </c>
      <c r="J134" s="11">
        <v>3560</v>
      </c>
      <c r="K134" s="37">
        <v>0.35299999999999998</v>
      </c>
      <c r="L134" s="37" t="s">
        <v>22</v>
      </c>
      <c r="M134" s="10">
        <v>19850</v>
      </c>
    </row>
    <row r="135" spans="1:13" ht="27.6">
      <c r="A135" s="10">
        <v>2014</v>
      </c>
      <c r="B135" s="11" t="s">
        <v>261</v>
      </c>
      <c r="C135" s="11" t="s">
        <v>311</v>
      </c>
      <c r="D135" s="10">
        <v>22</v>
      </c>
      <c r="E135" s="11" t="s">
        <v>312</v>
      </c>
      <c r="F135" s="37" t="s">
        <v>174</v>
      </c>
      <c r="G135" s="37" t="s">
        <v>181</v>
      </c>
      <c r="H135" s="11" t="s">
        <v>26</v>
      </c>
      <c r="I135" s="12">
        <v>10455</v>
      </c>
      <c r="J135" s="11">
        <v>4580</v>
      </c>
      <c r="K135" s="37">
        <v>0.49020000000000002</v>
      </c>
      <c r="L135" s="37" t="s">
        <v>22</v>
      </c>
      <c r="M135" s="10">
        <v>21500</v>
      </c>
    </row>
    <row r="136" spans="1:13" ht="27.6">
      <c r="A136" s="10">
        <v>2014</v>
      </c>
      <c r="B136" s="11" t="s">
        <v>261</v>
      </c>
      <c r="C136" s="11" t="s">
        <v>313</v>
      </c>
      <c r="D136" s="10">
        <v>23</v>
      </c>
      <c r="E136" s="11" t="s">
        <v>314</v>
      </c>
      <c r="F136" s="37" t="s">
        <v>174</v>
      </c>
      <c r="G136" s="37" t="s">
        <v>181</v>
      </c>
      <c r="H136" s="11" t="s">
        <v>26</v>
      </c>
      <c r="I136" s="12">
        <v>9541</v>
      </c>
      <c r="J136" s="11">
        <v>960</v>
      </c>
      <c r="K136" s="37">
        <v>0.151</v>
      </c>
      <c r="L136" s="37" t="s">
        <v>22</v>
      </c>
      <c r="M136" s="10">
        <v>14500</v>
      </c>
    </row>
    <row r="137" spans="1:13" ht="27.6">
      <c r="A137" s="10">
        <v>2014</v>
      </c>
      <c r="B137" s="11" t="s">
        <v>261</v>
      </c>
      <c r="C137" s="11" t="s">
        <v>315</v>
      </c>
      <c r="D137" s="10">
        <v>39</v>
      </c>
      <c r="E137" s="11" t="s">
        <v>316</v>
      </c>
      <c r="F137" s="37" t="s">
        <v>174</v>
      </c>
      <c r="G137" s="37" t="s">
        <v>181</v>
      </c>
      <c r="H137" s="11" t="s">
        <v>26</v>
      </c>
      <c r="I137" s="12">
        <v>10950</v>
      </c>
      <c r="J137" s="11">
        <v>3500</v>
      </c>
      <c r="K137" s="37">
        <v>0.36199999999999999</v>
      </c>
      <c r="L137" s="37" t="s">
        <v>22</v>
      </c>
      <c r="M137" s="10">
        <v>15620</v>
      </c>
    </row>
    <row r="138" spans="1:13" ht="27.6">
      <c r="A138" s="10">
        <v>2015</v>
      </c>
      <c r="B138" s="11" t="s">
        <v>261</v>
      </c>
      <c r="C138" s="11" t="s">
        <v>317</v>
      </c>
      <c r="D138" s="10">
        <v>27</v>
      </c>
      <c r="E138" s="11" t="s">
        <v>318</v>
      </c>
      <c r="F138" s="37" t="s">
        <v>174</v>
      </c>
      <c r="G138" s="37" t="s">
        <v>181</v>
      </c>
      <c r="H138" s="11" t="s">
        <v>26</v>
      </c>
      <c r="I138" s="12">
        <v>11667</v>
      </c>
      <c r="J138" s="10">
        <v>119</v>
      </c>
      <c r="K138" s="37">
        <v>0.36330000000000001</v>
      </c>
      <c r="L138" s="37" t="s">
        <v>22</v>
      </c>
      <c r="M138" s="12">
        <v>10490</v>
      </c>
    </row>
    <row r="139" spans="1:13" ht="27.6">
      <c r="A139" s="15">
        <v>2016</v>
      </c>
      <c r="B139" s="11" t="s">
        <v>261</v>
      </c>
      <c r="C139" s="15" t="s">
        <v>319</v>
      </c>
      <c r="D139" s="15">
        <v>45</v>
      </c>
      <c r="E139" s="15" t="s">
        <v>320</v>
      </c>
      <c r="F139" s="37" t="s">
        <v>178</v>
      </c>
      <c r="G139" s="37" t="s">
        <v>502</v>
      </c>
      <c r="H139" s="15" t="s">
        <v>39</v>
      </c>
      <c r="I139" s="16">
        <v>11036</v>
      </c>
      <c r="J139" s="15">
        <v>942</v>
      </c>
      <c r="K139" s="37">
        <v>0.54849999999999999</v>
      </c>
      <c r="L139" s="37" t="s">
        <v>22</v>
      </c>
      <c r="M139" s="16">
        <v>9822</v>
      </c>
    </row>
    <row r="140" spans="1:13" ht="27.6">
      <c r="A140" s="10">
        <v>2017</v>
      </c>
      <c r="B140" s="11" t="s">
        <v>261</v>
      </c>
      <c r="C140" s="11" t="s">
        <v>303</v>
      </c>
      <c r="D140" s="10">
        <v>12</v>
      </c>
      <c r="E140" s="11" t="s">
        <v>321</v>
      </c>
      <c r="F140" s="37" t="s">
        <v>174</v>
      </c>
      <c r="G140" s="37" t="s">
        <v>502</v>
      </c>
      <c r="H140" s="11" t="s">
        <v>39</v>
      </c>
      <c r="I140" s="12">
        <v>7468</v>
      </c>
      <c r="J140" s="10">
        <v>479</v>
      </c>
      <c r="K140" s="37">
        <v>0.90080000000000005</v>
      </c>
      <c r="L140" s="37" t="s">
        <v>22</v>
      </c>
      <c r="M140" s="12">
        <v>6727</v>
      </c>
    </row>
    <row r="141" spans="1:13" ht="27.6">
      <c r="A141" s="10">
        <v>2017</v>
      </c>
      <c r="B141" s="11" t="s">
        <v>261</v>
      </c>
      <c r="C141" s="11" t="s">
        <v>322</v>
      </c>
      <c r="D141" s="10">
        <v>28</v>
      </c>
      <c r="E141" s="11" t="s">
        <v>323</v>
      </c>
      <c r="F141" s="37" t="s">
        <v>174</v>
      </c>
      <c r="G141" s="37" t="s">
        <v>502</v>
      </c>
      <c r="H141" s="11" t="s">
        <v>39</v>
      </c>
      <c r="I141" s="12">
        <v>10608</v>
      </c>
      <c r="J141" s="10">
        <v>305</v>
      </c>
      <c r="K141" s="37">
        <v>0.72370000000000001</v>
      </c>
      <c r="L141" s="37" t="s">
        <v>22</v>
      </c>
      <c r="M141" s="12">
        <v>7677</v>
      </c>
    </row>
    <row r="142" spans="1:13" ht="27.6">
      <c r="A142" s="10">
        <v>2023</v>
      </c>
      <c r="B142" s="11" t="s">
        <v>261</v>
      </c>
      <c r="C142" s="11" t="s">
        <v>272</v>
      </c>
      <c r="D142" s="10">
        <v>1</v>
      </c>
      <c r="E142" s="11" t="s">
        <v>324</v>
      </c>
      <c r="F142" s="37" t="s">
        <v>178</v>
      </c>
      <c r="G142" s="37" t="s">
        <v>502</v>
      </c>
      <c r="H142" s="11" t="s">
        <v>39</v>
      </c>
      <c r="I142" s="12">
        <v>9214</v>
      </c>
      <c r="J142" s="11">
        <v>500</v>
      </c>
      <c r="K142" s="37">
        <v>0.7</v>
      </c>
      <c r="L142" s="37" t="s">
        <v>22</v>
      </c>
      <c r="M142" s="14">
        <v>11500</v>
      </c>
    </row>
    <row r="143" spans="1:13">
      <c r="A143" s="27">
        <v>1991</v>
      </c>
      <c r="B143" s="27" t="s">
        <v>349</v>
      </c>
      <c r="C143" s="27" t="s">
        <v>388</v>
      </c>
      <c r="D143" s="27">
        <v>2</v>
      </c>
      <c r="E143" s="27" t="s">
        <v>389</v>
      </c>
      <c r="F143" s="37" t="s">
        <v>178</v>
      </c>
      <c r="G143" s="37" t="s">
        <v>371</v>
      </c>
      <c r="H143" s="27" t="s">
        <v>372</v>
      </c>
      <c r="I143" s="27">
        <v>175000</v>
      </c>
      <c r="J143" s="27">
        <v>7854</v>
      </c>
      <c r="K143" s="37">
        <v>0.48399999999999999</v>
      </c>
      <c r="L143" s="37" t="s">
        <v>19</v>
      </c>
      <c r="M143" s="27">
        <v>94542</v>
      </c>
    </row>
    <row r="144" spans="1:13">
      <c r="A144" s="27">
        <v>1993</v>
      </c>
      <c r="B144" s="27" t="s">
        <v>349</v>
      </c>
      <c r="C144" s="27" t="s">
        <v>390</v>
      </c>
      <c r="D144" s="27">
        <v>46</v>
      </c>
      <c r="E144" s="27" t="s">
        <v>391</v>
      </c>
      <c r="F144" s="37" t="s">
        <v>174</v>
      </c>
      <c r="G144" s="37" t="s">
        <v>392</v>
      </c>
      <c r="H144" s="27" t="s">
        <v>32</v>
      </c>
      <c r="I144" s="27">
        <v>185000</v>
      </c>
      <c r="J144" s="27">
        <v>6780</v>
      </c>
      <c r="K144" s="37">
        <v>0.48499999999999999</v>
      </c>
      <c r="L144" s="37" t="s">
        <v>19</v>
      </c>
      <c r="M144" s="27">
        <v>89725</v>
      </c>
    </row>
    <row r="145" spans="1:13">
      <c r="A145" s="27">
        <v>1996</v>
      </c>
      <c r="B145" s="27" t="s">
        <v>349</v>
      </c>
      <c r="C145" s="27" t="s">
        <v>390</v>
      </c>
      <c r="D145" s="27">
        <v>47</v>
      </c>
      <c r="E145" s="27" t="s">
        <v>393</v>
      </c>
      <c r="F145" s="37" t="s">
        <v>174</v>
      </c>
      <c r="G145" s="37" t="s">
        <v>383</v>
      </c>
      <c r="H145" s="27" t="s">
        <v>355</v>
      </c>
      <c r="I145" s="27">
        <v>198000</v>
      </c>
      <c r="J145" s="27">
        <v>8920</v>
      </c>
      <c r="K145" s="37">
        <v>0.502</v>
      </c>
      <c r="L145" s="37" t="s">
        <v>19</v>
      </c>
      <c r="M145" s="27">
        <v>99396</v>
      </c>
    </row>
    <row r="146" spans="1:13">
      <c r="A146" s="27">
        <v>1996</v>
      </c>
      <c r="B146" s="27" t="s">
        <v>349</v>
      </c>
      <c r="C146" s="27" t="s">
        <v>394</v>
      </c>
      <c r="D146" s="27">
        <v>48</v>
      </c>
      <c r="E146" s="27" t="s">
        <v>395</v>
      </c>
      <c r="F146" s="37" t="s">
        <v>174</v>
      </c>
      <c r="G146" s="37" t="s">
        <v>377</v>
      </c>
      <c r="H146" s="27" t="s">
        <v>378</v>
      </c>
      <c r="I146" s="27">
        <v>210000</v>
      </c>
      <c r="J146" s="27">
        <v>7340</v>
      </c>
      <c r="K146" s="37">
        <v>0.498</v>
      </c>
      <c r="L146" s="37" t="s">
        <v>19</v>
      </c>
      <c r="M146" s="27">
        <v>104580</v>
      </c>
    </row>
    <row r="147" spans="1:13">
      <c r="A147" s="27">
        <v>1998</v>
      </c>
      <c r="B147" s="27" t="s">
        <v>349</v>
      </c>
      <c r="C147" s="27" t="s">
        <v>396</v>
      </c>
      <c r="D147" s="27">
        <v>49</v>
      </c>
      <c r="E147" s="27" t="s">
        <v>397</v>
      </c>
      <c r="F147" s="37" t="s">
        <v>174</v>
      </c>
      <c r="G147" s="37" t="s">
        <v>377</v>
      </c>
      <c r="H147" s="27" t="s">
        <v>378</v>
      </c>
      <c r="I147" s="27">
        <v>225000</v>
      </c>
      <c r="J147" s="27">
        <v>9870</v>
      </c>
      <c r="K147" s="37">
        <v>0.51300000000000001</v>
      </c>
      <c r="L147" s="37" t="s">
        <v>19</v>
      </c>
      <c r="M147" s="27">
        <v>115425</v>
      </c>
    </row>
    <row r="148" spans="1:13">
      <c r="A148" s="27">
        <v>1998</v>
      </c>
      <c r="B148" s="27" t="s">
        <v>349</v>
      </c>
      <c r="C148" s="27" t="s">
        <v>398</v>
      </c>
      <c r="D148" s="27">
        <v>50</v>
      </c>
      <c r="E148" s="27" t="s">
        <v>399</v>
      </c>
      <c r="F148" s="37" t="s">
        <v>178</v>
      </c>
      <c r="G148" s="37" t="s">
        <v>377</v>
      </c>
      <c r="H148" s="27" t="s">
        <v>378</v>
      </c>
      <c r="I148" s="27">
        <v>215000</v>
      </c>
      <c r="J148" s="27">
        <v>8450</v>
      </c>
      <c r="K148" s="37">
        <v>0.50600000000000001</v>
      </c>
      <c r="L148" s="37" t="s">
        <v>19</v>
      </c>
      <c r="M148" s="27">
        <v>108790</v>
      </c>
    </row>
    <row r="149" spans="1:13">
      <c r="A149" s="27">
        <v>1998</v>
      </c>
      <c r="B149" s="27" t="s">
        <v>349</v>
      </c>
      <c r="C149" s="27" t="s">
        <v>400</v>
      </c>
      <c r="D149" s="27">
        <v>51</v>
      </c>
      <c r="E149" s="27" t="s">
        <v>401</v>
      </c>
      <c r="F149" s="37" t="s">
        <v>174</v>
      </c>
      <c r="G149" s="37" t="s">
        <v>377</v>
      </c>
      <c r="H149" s="27" t="s">
        <v>378</v>
      </c>
      <c r="I149" s="27">
        <v>205000</v>
      </c>
      <c r="J149" s="27">
        <v>7120</v>
      </c>
      <c r="K149" s="37">
        <v>0.49399999999999999</v>
      </c>
      <c r="L149" s="37" t="s">
        <v>19</v>
      </c>
      <c r="M149" s="27">
        <v>101270</v>
      </c>
    </row>
    <row r="150" spans="1:13">
      <c r="A150" s="27">
        <v>1998</v>
      </c>
      <c r="B150" s="27" t="s">
        <v>349</v>
      </c>
      <c r="C150" s="27" t="s">
        <v>402</v>
      </c>
      <c r="D150" s="27">
        <v>52</v>
      </c>
      <c r="E150" s="27" t="s">
        <v>403</v>
      </c>
      <c r="F150" s="37" t="s">
        <v>178</v>
      </c>
      <c r="G150" s="37" t="s">
        <v>404</v>
      </c>
      <c r="H150" s="27" t="s">
        <v>355</v>
      </c>
      <c r="I150" s="27">
        <v>235000</v>
      </c>
      <c r="J150" s="27">
        <v>5670</v>
      </c>
      <c r="K150" s="37">
        <v>0.47799999999999998</v>
      </c>
      <c r="L150" s="37" t="s">
        <v>19</v>
      </c>
      <c r="M150" s="27">
        <v>112330</v>
      </c>
    </row>
    <row r="151" spans="1:13">
      <c r="A151" s="27">
        <v>1998</v>
      </c>
      <c r="B151" s="27" t="s">
        <v>349</v>
      </c>
      <c r="C151" s="27" t="s">
        <v>405</v>
      </c>
      <c r="D151" s="27">
        <v>53</v>
      </c>
      <c r="E151" s="27" t="s">
        <v>406</v>
      </c>
      <c r="F151" s="37" t="s">
        <v>174</v>
      </c>
      <c r="G151" s="37" t="s">
        <v>377</v>
      </c>
      <c r="H151" s="27" t="s">
        <v>378</v>
      </c>
      <c r="I151" s="27">
        <v>248000</v>
      </c>
      <c r="J151" s="27">
        <v>10230</v>
      </c>
      <c r="K151" s="37">
        <v>0.52100000000000002</v>
      </c>
      <c r="L151" s="37" t="s">
        <v>19</v>
      </c>
      <c r="M151" s="27">
        <v>129208</v>
      </c>
    </row>
    <row r="152" spans="1:13">
      <c r="A152" s="27">
        <v>2002</v>
      </c>
      <c r="B152" s="27" t="s">
        <v>349</v>
      </c>
      <c r="C152" s="27" t="s">
        <v>407</v>
      </c>
      <c r="D152" s="27">
        <v>54</v>
      </c>
      <c r="E152" s="27" t="s">
        <v>408</v>
      </c>
      <c r="F152" s="37" t="s">
        <v>174</v>
      </c>
      <c r="G152" s="37" t="s">
        <v>409</v>
      </c>
      <c r="H152" s="27" t="s">
        <v>410</v>
      </c>
      <c r="I152" s="27">
        <v>220000</v>
      </c>
      <c r="J152" s="27">
        <v>4560</v>
      </c>
      <c r="K152" s="37">
        <v>0.46300000000000002</v>
      </c>
      <c r="L152" s="37" t="s">
        <v>19</v>
      </c>
      <c r="M152" s="27">
        <v>101860</v>
      </c>
    </row>
    <row r="153" spans="1:13">
      <c r="A153" s="27">
        <v>2003</v>
      </c>
      <c r="B153" s="27" t="s">
        <v>349</v>
      </c>
      <c r="C153" s="27" t="s">
        <v>411</v>
      </c>
      <c r="D153" s="27">
        <v>55</v>
      </c>
      <c r="E153" s="27" t="s">
        <v>412</v>
      </c>
      <c r="F153" s="37" t="s">
        <v>174</v>
      </c>
      <c r="G153" s="37" t="s">
        <v>377</v>
      </c>
      <c r="H153" s="27" t="s">
        <v>378</v>
      </c>
      <c r="I153" s="27">
        <v>275000</v>
      </c>
      <c r="J153" s="27">
        <v>8340</v>
      </c>
      <c r="K153" s="37">
        <v>0.496</v>
      </c>
      <c r="L153" s="37" t="s">
        <v>19</v>
      </c>
      <c r="M153" s="27">
        <v>136400</v>
      </c>
    </row>
    <row r="154" spans="1:13">
      <c r="A154" s="27">
        <v>2003</v>
      </c>
      <c r="B154" s="27" t="s">
        <v>349</v>
      </c>
      <c r="C154" s="27" t="s">
        <v>413</v>
      </c>
      <c r="D154" s="27">
        <v>56</v>
      </c>
      <c r="E154" s="27" t="s">
        <v>414</v>
      </c>
      <c r="F154" s="37" t="s">
        <v>174</v>
      </c>
      <c r="G154" s="37" t="s">
        <v>415</v>
      </c>
      <c r="H154" s="27" t="s">
        <v>416</v>
      </c>
      <c r="I154" s="27">
        <v>265000</v>
      </c>
      <c r="J154" s="27">
        <v>7890</v>
      </c>
      <c r="K154" s="37">
        <v>0.48199999999999998</v>
      </c>
      <c r="L154" s="37" t="s">
        <v>107</v>
      </c>
      <c r="M154" s="27">
        <v>127730</v>
      </c>
    </row>
    <row r="155" spans="1:13">
      <c r="A155" s="27">
        <v>2003</v>
      </c>
      <c r="B155" s="27" t="s">
        <v>349</v>
      </c>
      <c r="C155" s="27" t="s">
        <v>417</v>
      </c>
      <c r="D155" s="27">
        <v>57</v>
      </c>
      <c r="E155" s="27" t="s">
        <v>418</v>
      </c>
      <c r="F155" s="37" t="s">
        <v>174</v>
      </c>
      <c r="G155" s="37" t="s">
        <v>377</v>
      </c>
      <c r="H155" s="27" t="s">
        <v>378</v>
      </c>
      <c r="I155" s="27">
        <v>243000</v>
      </c>
      <c r="J155" s="27">
        <v>6450</v>
      </c>
      <c r="K155" s="37">
        <v>0.47499999999999998</v>
      </c>
      <c r="L155" s="37" t="s">
        <v>107</v>
      </c>
      <c r="M155" s="27">
        <v>115425</v>
      </c>
    </row>
    <row r="156" spans="1:13">
      <c r="A156" s="27">
        <v>2006</v>
      </c>
      <c r="B156" s="27" t="s">
        <v>349</v>
      </c>
      <c r="C156" s="27" t="s">
        <v>419</v>
      </c>
      <c r="D156" s="27">
        <v>58</v>
      </c>
      <c r="E156" s="27" t="s">
        <v>420</v>
      </c>
      <c r="F156" s="37" t="s">
        <v>174</v>
      </c>
      <c r="G156" s="37" t="s">
        <v>383</v>
      </c>
      <c r="H156" s="27" t="s">
        <v>355</v>
      </c>
      <c r="I156" s="27">
        <v>320000</v>
      </c>
      <c r="J156" s="27">
        <v>15670</v>
      </c>
      <c r="K156" s="37">
        <v>0.54300000000000004</v>
      </c>
      <c r="L156" s="37" t="s">
        <v>19</v>
      </c>
      <c r="M156" s="27">
        <v>173760</v>
      </c>
    </row>
    <row r="157" spans="1:13">
      <c r="A157" s="27">
        <v>2006</v>
      </c>
      <c r="B157" s="27" t="s">
        <v>349</v>
      </c>
      <c r="C157" s="27" t="s">
        <v>421</v>
      </c>
      <c r="D157" s="27">
        <v>59</v>
      </c>
      <c r="E157" s="27" t="s">
        <v>422</v>
      </c>
      <c r="F157" s="37" t="s">
        <v>174</v>
      </c>
      <c r="G157" s="37" t="s">
        <v>383</v>
      </c>
      <c r="H157" s="27" t="s">
        <v>355</v>
      </c>
      <c r="I157" s="27">
        <v>345000</v>
      </c>
      <c r="J157" s="27">
        <v>22100</v>
      </c>
      <c r="K157" s="37">
        <v>0.56799999999999995</v>
      </c>
      <c r="L157" s="37" t="s">
        <v>19</v>
      </c>
      <c r="M157" s="27">
        <v>195960</v>
      </c>
    </row>
    <row r="158" spans="1:13">
      <c r="A158" s="27">
        <v>2007</v>
      </c>
      <c r="B158" s="27" t="s">
        <v>349</v>
      </c>
      <c r="C158" s="27" t="s">
        <v>423</v>
      </c>
      <c r="D158" s="27">
        <v>60</v>
      </c>
      <c r="E158" s="27" t="s">
        <v>424</v>
      </c>
      <c r="F158" s="37" t="s">
        <v>174</v>
      </c>
      <c r="G158" s="37" t="s">
        <v>409</v>
      </c>
      <c r="H158" s="27" t="s">
        <v>410</v>
      </c>
      <c r="I158" s="27">
        <v>228000</v>
      </c>
      <c r="J158" s="27">
        <v>4230</v>
      </c>
      <c r="K158" s="37">
        <v>0.45600000000000002</v>
      </c>
      <c r="L158" s="37" t="s">
        <v>19</v>
      </c>
      <c r="M158" s="27">
        <v>103968</v>
      </c>
    </row>
    <row r="159" spans="1:13">
      <c r="A159" s="27">
        <v>2009</v>
      </c>
      <c r="B159" s="27" t="s">
        <v>349</v>
      </c>
      <c r="C159" s="27" t="s">
        <v>425</v>
      </c>
      <c r="D159" s="27">
        <v>1</v>
      </c>
      <c r="E159" s="27" t="s">
        <v>426</v>
      </c>
      <c r="F159" s="37" t="s">
        <v>174</v>
      </c>
      <c r="G159" s="37" t="s">
        <v>377</v>
      </c>
      <c r="H159" s="27" t="s">
        <v>378</v>
      </c>
      <c r="I159" s="27">
        <v>245000</v>
      </c>
      <c r="J159" s="27">
        <v>8520</v>
      </c>
      <c r="K159" s="37">
        <v>0.52300000000000002</v>
      </c>
      <c r="L159" s="37" t="s">
        <v>19</v>
      </c>
      <c r="M159" s="27">
        <v>128135</v>
      </c>
    </row>
    <row r="160" spans="1:13">
      <c r="A160" s="27">
        <v>2009</v>
      </c>
      <c r="B160" s="27" t="s">
        <v>349</v>
      </c>
      <c r="C160" s="27" t="s">
        <v>427</v>
      </c>
      <c r="D160" s="27">
        <v>2</v>
      </c>
      <c r="E160" s="27" t="s">
        <v>428</v>
      </c>
      <c r="F160" s="37" t="s">
        <v>174</v>
      </c>
      <c r="G160" s="37" t="s">
        <v>415</v>
      </c>
      <c r="H160" s="27" t="s">
        <v>416</v>
      </c>
      <c r="I160" s="27">
        <v>280000</v>
      </c>
      <c r="J160" s="27">
        <v>12340</v>
      </c>
      <c r="K160" s="37">
        <v>0.48599999999999999</v>
      </c>
      <c r="L160" s="37" t="s">
        <v>19</v>
      </c>
      <c r="M160" s="27">
        <v>136080</v>
      </c>
    </row>
    <row r="161" spans="1:13">
      <c r="A161" s="27">
        <v>2009</v>
      </c>
      <c r="B161" s="27" t="s">
        <v>349</v>
      </c>
      <c r="C161" s="27" t="s">
        <v>429</v>
      </c>
      <c r="D161" s="27">
        <v>3</v>
      </c>
      <c r="E161" s="27" t="s">
        <v>430</v>
      </c>
      <c r="F161" s="37" t="s">
        <v>174</v>
      </c>
      <c r="G161" s="37" t="s">
        <v>415</v>
      </c>
      <c r="H161" s="27" t="s">
        <v>416</v>
      </c>
      <c r="I161" s="27">
        <v>260000</v>
      </c>
      <c r="J161" s="27">
        <v>9870</v>
      </c>
      <c r="K161" s="37">
        <v>0.501</v>
      </c>
      <c r="L161" s="37" t="s">
        <v>19</v>
      </c>
      <c r="M161" s="27">
        <v>130260</v>
      </c>
    </row>
    <row r="162" spans="1:13">
      <c r="A162" s="27">
        <v>2009</v>
      </c>
      <c r="B162" s="27" t="s">
        <v>349</v>
      </c>
      <c r="C162" s="27" t="s">
        <v>431</v>
      </c>
      <c r="D162" s="27">
        <v>4</v>
      </c>
      <c r="E162" s="27" t="s">
        <v>432</v>
      </c>
      <c r="F162" s="37" t="s">
        <v>174</v>
      </c>
      <c r="G162" s="37" t="s">
        <v>433</v>
      </c>
      <c r="H162" s="27" t="s">
        <v>434</v>
      </c>
      <c r="I162" s="27">
        <v>235000</v>
      </c>
      <c r="J162" s="27">
        <v>7650</v>
      </c>
      <c r="K162" s="37">
        <v>0.47799999999999998</v>
      </c>
      <c r="L162" s="37" t="s">
        <v>107</v>
      </c>
      <c r="M162" s="27">
        <v>112330</v>
      </c>
    </row>
    <row r="163" spans="1:13">
      <c r="A163" s="27">
        <v>2009</v>
      </c>
      <c r="B163" s="27" t="s">
        <v>349</v>
      </c>
      <c r="C163" s="27" t="s">
        <v>435</v>
      </c>
      <c r="D163" s="27">
        <v>5</v>
      </c>
      <c r="E163" s="27" t="s">
        <v>436</v>
      </c>
      <c r="F163" s="37" t="s">
        <v>174</v>
      </c>
      <c r="G163" s="37" t="s">
        <v>377</v>
      </c>
      <c r="H163" s="27" t="s">
        <v>378</v>
      </c>
      <c r="I163" s="27">
        <v>220000</v>
      </c>
      <c r="J163" s="27">
        <v>6890</v>
      </c>
      <c r="K163" s="37">
        <v>0.49199999999999999</v>
      </c>
      <c r="L163" s="37" t="s">
        <v>19</v>
      </c>
      <c r="M163" s="27">
        <v>108240</v>
      </c>
    </row>
    <row r="164" spans="1:13">
      <c r="A164" s="27">
        <v>2009</v>
      </c>
      <c r="B164" s="27" t="s">
        <v>349</v>
      </c>
      <c r="C164" s="27" t="s">
        <v>384</v>
      </c>
      <c r="D164" s="27">
        <v>6</v>
      </c>
      <c r="E164" s="27" t="s">
        <v>437</v>
      </c>
      <c r="F164" s="37" t="s">
        <v>174</v>
      </c>
      <c r="G164" s="37" t="s">
        <v>433</v>
      </c>
      <c r="H164" s="27" t="s">
        <v>434</v>
      </c>
      <c r="I164" s="27">
        <v>270000</v>
      </c>
      <c r="J164" s="27">
        <v>11230</v>
      </c>
      <c r="K164" s="37">
        <v>0.51400000000000001</v>
      </c>
      <c r="L164" s="37" t="s">
        <v>19</v>
      </c>
      <c r="M164" s="27">
        <v>138780</v>
      </c>
    </row>
    <row r="165" spans="1:13">
      <c r="A165" s="27">
        <v>2009</v>
      </c>
      <c r="B165" s="27" t="s">
        <v>349</v>
      </c>
      <c r="C165" s="27" t="s">
        <v>438</v>
      </c>
      <c r="D165" s="27">
        <v>7</v>
      </c>
      <c r="E165" s="27" t="s">
        <v>439</v>
      </c>
      <c r="F165" s="37" t="s">
        <v>174</v>
      </c>
      <c r="G165" s="37" t="s">
        <v>383</v>
      </c>
      <c r="H165" s="27" t="s">
        <v>355</v>
      </c>
      <c r="I165" s="27">
        <v>250000</v>
      </c>
      <c r="J165" s="27">
        <v>9450</v>
      </c>
      <c r="K165" s="37">
        <v>0.46500000000000002</v>
      </c>
      <c r="L165" s="37" t="s">
        <v>19</v>
      </c>
      <c r="M165" s="27">
        <v>116250</v>
      </c>
    </row>
    <row r="166" spans="1:13">
      <c r="A166" s="27">
        <v>2009</v>
      </c>
      <c r="B166" s="27" t="s">
        <v>349</v>
      </c>
      <c r="C166" s="27" t="s">
        <v>440</v>
      </c>
      <c r="D166" s="27">
        <v>8</v>
      </c>
      <c r="E166" s="27" t="s">
        <v>441</v>
      </c>
      <c r="F166" s="37" t="s">
        <v>174</v>
      </c>
      <c r="G166" s="37" t="s">
        <v>181</v>
      </c>
      <c r="H166" s="27" t="s">
        <v>26</v>
      </c>
      <c r="I166" s="27">
        <v>240000</v>
      </c>
      <c r="J166" s="27">
        <v>5670</v>
      </c>
      <c r="K166" s="37">
        <v>0.48899999999999999</v>
      </c>
      <c r="L166" s="37" t="s">
        <v>19</v>
      </c>
      <c r="M166" s="27">
        <v>117360</v>
      </c>
    </row>
    <row r="167" spans="1:13">
      <c r="A167" s="27">
        <v>2009</v>
      </c>
      <c r="B167" s="27" t="s">
        <v>349</v>
      </c>
      <c r="C167" s="27" t="s">
        <v>442</v>
      </c>
      <c r="D167" s="27">
        <v>9</v>
      </c>
      <c r="E167" s="27" t="s">
        <v>443</v>
      </c>
      <c r="F167" s="37" t="s">
        <v>174</v>
      </c>
      <c r="G167" s="37" t="s">
        <v>377</v>
      </c>
      <c r="H167" s="27" t="s">
        <v>378</v>
      </c>
      <c r="I167" s="27">
        <v>265000</v>
      </c>
      <c r="J167" s="27">
        <v>10120</v>
      </c>
      <c r="K167" s="37">
        <v>0.50800000000000001</v>
      </c>
      <c r="L167" s="37" t="s">
        <v>19</v>
      </c>
      <c r="M167" s="27">
        <v>134620</v>
      </c>
    </row>
    <row r="168" spans="1:13">
      <c r="A168" s="27">
        <v>2009</v>
      </c>
      <c r="B168" s="27" t="s">
        <v>349</v>
      </c>
      <c r="C168" s="27" t="s">
        <v>444</v>
      </c>
      <c r="D168" s="27">
        <v>10</v>
      </c>
      <c r="E168" s="27" t="s">
        <v>445</v>
      </c>
      <c r="F168" s="37" t="s">
        <v>174</v>
      </c>
      <c r="G168" s="37" t="s">
        <v>415</v>
      </c>
      <c r="H168" s="27" t="s">
        <v>416</v>
      </c>
      <c r="I168" s="27">
        <v>310000</v>
      </c>
      <c r="J168" s="27">
        <v>8940</v>
      </c>
      <c r="K168" s="37">
        <v>0.53200000000000003</v>
      </c>
      <c r="L168" s="37" t="s">
        <v>107</v>
      </c>
      <c r="M168" s="27">
        <v>164920</v>
      </c>
    </row>
    <row r="169" spans="1:13">
      <c r="A169" s="27">
        <v>2009</v>
      </c>
      <c r="B169" s="27" t="s">
        <v>349</v>
      </c>
      <c r="C169" s="27" t="s">
        <v>446</v>
      </c>
      <c r="D169" s="27">
        <v>11</v>
      </c>
      <c r="E169" s="27" t="s">
        <v>447</v>
      </c>
      <c r="F169" s="37" t="s">
        <v>174</v>
      </c>
      <c r="G169" s="37" t="s">
        <v>433</v>
      </c>
      <c r="H169" s="27" t="s">
        <v>434</v>
      </c>
      <c r="I169" s="27">
        <v>255000</v>
      </c>
      <c r="J169" s="27">
        <v>7230</v>
      </c>
      <c r="K169" s="37">
        <v>0.47099999999999997</v>
      </c>
      <c r="L169" s="37" t="s">
        <v>107</v>
      </c>
      <c r="M169" s="27">
        <v>120105</v>
      </c>
    </row>
    <row r="170" spans="1:13">
      <c r="A170" s="27">
        <v>2009</v>
      </c>
      <c r="B170" s="27" t="s">
        <v>349</v>
      </c>
      <c r="C170" s="27" t="s">
        <v>448</v>
      </c>
      <c r="D170" s="27">
        <v>12</v>
      </c>
      <c r="E170" s="27" t="s">
        <v>449</v>
      </c>
      <c r="F170" s="37" t="s">
        <v>178</v>
      </c>
      <c r="G170" s="37" t="s">
        <v>409</v>
      </c>
      <c r="H170" s="27" t="s">
        <v>410</v>
      </c>
      <c r="I170" s="27">
        <v>230000</v>
      </c>
      <c r="J170" s="27">
        <v>4560</v>
      </c>
      <c r="K170" s="37">
        <v>0.45800000000000002</v>
      </c>
      <c r="L170" s="37" t="s">
        <v>19</v>
      </c>
      <c r="M170" s="27">
        <v>105340</v>
      </c>
    </row>
    <row r="171" spans="1:13">
      <c r="A171" s="27">
        <v>2011</v>
      </c>
      <c r="B171" s="27" t="s">
        <v>349</v>
      </c>
      <c r="C171" s="27" t="s">
        <v>450</v>
      </c>
      <c r="D171" s="27">
        <v>13</v>
      </c>
      <c r="E171" s="27" t="s">
        <v>451</v>
      </c>
      <c r="F171" s="37" t="s">
        <v>174</v>
      </c>
      <c r="G171" s="37" t="s">
        <v>415</v>
      </c>
      <c r="H171" s="27" t="s">
        <v>416</v>
      </c>
      <c r="I171" s="27">
        <v>248000</v>
      </c>
      <c r="J171" s="27">
        <v>11450</v>
      </c>
      <c r="K171" s="37">
        <v>0.54600000000000004</v>
      </c>
      <c r="L171" s="37" t="s">
        <v>19</v>
      </c>
      <c r="M171" s="27">
        <v>135408</v>
      </c>
    </row>
    <row r="172" spans="1:13">
      <c r="A172" s="27">
        <v>2011</v>
      </c>
      <c r="B172" s="27" t="s">
        <v>349</v>
      </c>
      <c r="C172" s="27" t="s">
        <v>402</v>
      </c>
      <c r="D172" s="27">
        <v>14</v>
      </c>
      <c r="E172" s="27" t="s">
        <v>452</v>
      </c>
      <c r="F172" s="37" t="s">
        <v>178</v>
      </c>
      <c r="G172" s="37" t="s">
        <v>383</v>
      </c>
      <c r="H172" s="27" t="s">
        <v>355</v>
      </c>
      <c r="I172" s="27">
        <v>285000</v>
      </c>
      <c r="J172" s="27">
        <v>15230</v>
      </c>
      <c r="K172" s="37">
        <v>0.52100000000000002</v>
      </c>
      <c r="L172" s="37" t="s">
        <v>19</v>
      </c>
      <c r="M172" s="27">
        <v>148485</v>
      </c>
    </row>
    <row r="173" spans="1:13">
      <c r="A173" s="27">
        <v>2011</v>
      </c>
      <c r="B173" s="27" t="s">
        <v>349</v>
      </c>
      <c r="C173" s="27" t="s">
        <v>453</v>
      </c>
      <c r="D173" s="27">
        <v>15</v>
      </c>
      <c r="E173" s="27" t="s">
        <v>454</v>
      </c>
      <c r="F173" s="37" t="s">
        <v>178</v>
      </c>
      <c r="G173" s="37" t="s">
        <v>415</v>
      </c>
      <c r="H173" s="27" t="s">
        <v>416</v>
      </c>
      <c r="I173" s="27">
        <v>232000</v>
      </c>
      <c r="J173" s="27">
        <v>8760</v>
      </c>
      <c r="K173" s="37">
        <v>0.495</v>
      </c>
      <c r="L173" s="37" t="s">
        <v>19</v>
      </c>
      <c r="M173" s="27">
        <v>114840</v>
      </c>
    </row>
    <row r="174" spans="1:13">
      <c r="A174" s="27">
        <v>2013</v>
      </c>
      <c r="B174" s="27" t="s">
        <v>349</v>
      </c>
      <c r="C174" s="27" t="s">
        <v>455</v>
      </c>
      <c r="D174" s="27">
        <v>16</v>
      </c>
      <c r="E174" s="27" t="s">
        <v>456</v>
      </c>
      <c r="F174" s="37" t="s">
        <v>178</v>
      </c>
      <c r="G174" s="37" t="s">
        <v>415</v>
      </c>
      <c r="H174" s="27" t="s">
        <v>416</v>
      </c>
      <c r="I174" s="27">
        <v>256000</v>
      </c>
      <c r="J174" s="27">
        <v>9340</v>
      </c>
      <c r="K174" s="37">
        <v>0.51200000000000001</v>
      </c>
      <c r="L174" s="37" t="s">
        <v>107</v>
      </c>
      <c r="M174" s="27">
        <v>131072</v>
      </c>
    </row>
    <row r="175" spans="1:13">
      <c r="A175" s="27">
        <v>2014</v>
      </c>
      <c r="B175" s="27" t="s">
        <v>349</v>
      </c>
      <c r="C175" s="27" t="s">
        <v>457</v>
      </c>
      <c r="D175" s="27">
        <v>17</v>
      </c>
      <c r="E175" s="27" t="s">
        <v>458</v>
      </c>
      <c r="F175" s="37" t="s">
        <v>174</v>
      </c>
      <c r="G175" s="37" t="s">
        <v>383</v>
      </c>
      <c r="H175" s="27" t="s">
        <v>355</v>
      </c>
      <c r="I175" s="27">
        <v>298000</v>
      </c>
      <c r="J175" s="27">
        <v>22340</v>
      </c>
      <c r="K175" s="37">
        <v>0.55800000000000005</v>
      </c>
      <c r="L175" s="37" t="s">
        <v>19</v>
      </c>
      <c r="M175" s="27">
        <v>166284</v>
      </c>
    </row>
    <row r="176" spans="1:13">
      <c r="A176" s="27">
        <v>2014</v>
      </c>
      <c r="B176" s="27" t="s">
        <v>349</v>
      </c>
      <c r="C176" s="27" t="s">
        <v>366</v>
      </c>
      <c r="D176" s="27">
        <v>18</v>
      </c>
      <c r="E176" s="27" t="s">
        <v>459</v>
      </c>
      <c r="F176" s="37" t="s">
        <v>174</v>
      </c>
      <c r="G176" s="37" t="s">
        <v>383</v>
      </c>
      <c r="H176" s="27" t="s">
        <v>355</v>
      </c>
      <c r="I176" s="27">
        <v>312000</v>
      </c>
      <c r="J176" s="27">
        <v>18970</v>
      </c>
      <c r="K176" s="37">
        <v>0.54500000000000004</v>
      </c>
      <c r="L176" s="37" t="s">
        <v>19</v>
      </c>
      <c r="M176" s="27">
        <v>170040</v>
      </c>
    </row>
    <row r="177" spans="1:13">
      <c r="A177" s="27">
        <v>2014</v>
      </c>
      <c r="B177" s="27" t="s">
        <v>349</v>
      </c>
      <c r="C177" s="27" t="s">
        <v>460</v>
      </c>
      <c r="D177" s="27">
        <v>19</v>
      </c>
      <c r="E177" s="27" t="s">
        <v>461</v>
      </c>
      <c r="F177" s="37" t="s">
        <v>174</v>
      </c>
      <c r="G177" s="37" t="s">
        <v>383</v>
      </c>
      <c r="H177" s="27" t="s">
        <v>355</v>
      </c>
      <c r="I177" s="27">
        <v>275000</v>
      </c>
      <c r="J177" s="27">
        <v>16780</v>
      </c>
      <c r="K177" s="37">
        <v>0.53200000000000003</v>
      </c>
      <c r="L177" s="37" t="s">
        <v>19</v>
      </c>
      <c r="M177" s="27">
        <v>146300</v>
      </c>
    </row>
    <row r="178" spans="1:13">
      <c r="A178" s="27">
        <v>2014</v>
      </c>
      <c r="B178" s="27" t="s">
        <v>349</v>
      </c>
      <c r="C178" s="27" t="s">
        <v>462</v>
      </c>
      <c r="D178" s="27">
        <v>20</v>
      </c>
      <c r="E178" s="27" t="s">
        <v>463</v>
      </c>
      <c r="F178" s="37" t="s">
        <v>174</v>
      </c>
      <c r="G178" s="37" t="s">
        <v>383</v>
      </c>
      <c r="H178" s="27" t="s">
        <v>355</v>
      </c>
      <c r="I178" s="27">
        <v>245000</v>
      </c>
      <c r="J178" s="27">
        <v>14560</v>
      </c>
      <c r="K178" s="37">
        <v>0.52900000000000003</v>
      </c>
      <c r="L178" s="37" t="s">
        <v>107</v>
      </c>
      <c r="M178" s="27">
        <v>129605</v>
      </c>
    </row>
    <row r="179" spans="1:13">
      <c r="A179" s="27">
        <v>2014</v>
      </c>
      <c r="B179" s="27" t="s">
        <v>349</v>
      </c>
      <c r="C179" s="27" t="s">
        <v>464</v>
      </c>
      <c r="D179" s="27">
        <v>21</v>
      </c>
      <c r="E179" s="27" t="s">
        <v>465</v>
      </c>
      <c r="F179" s="37" t="s">
        <v>174</v>
      </c>
      <c r="G179" s="37" t="s">
        <v>377</v>
      </c>
      <c r="H179" s="27" t="s">
        <v>378</v>
      </c>
      <c r="I179" s="27">
        <v>268000</v>
      </c>
      <c r="J179" s="27">
        <v>8230</v>
      </c>
      <c r="K179" s="37">
        <v>0.48699999999999999</v>
      </c>
      <c r="L179" s="37" t="s">
        <v>107</v>
      </c>
      <c r="M179" s="27">
        <v>130516</v>
      </c>
    </row>
    <row r="180" spans="1:13">
      <c r="A180" s="27">
        <v>2014</v>
      </c>
      <c r="B180" s="27" t="s">
        <v>349</v>
      </c>
      <c r="C180" s="27" t="s">
        <v>350</v>
      </c>
      <c r="D180" s="27">
        <v>22</v>
      </c>
      <c r="E180" s="27" t="s">
        <v>466</v>
      </c>
      <c r="F180" s="37" t="s">
        <v>174</v>
      </c>
      <c r="G180" s="37" t="s">
        <v>377</v>
      </c>
      <c r="H180" s="27" t="s">
        <v>378</v>
      </c>
      <c r="I180" s="27">
        <v>295000</v>
      </c>
      <c r="J180" s="27">
        <v>6540</v>
      </c>
      <c r="K180" s="37">
        <v>0.47899999999999998</v>
      </c>
      <c r="L180" s="37" t="s">
        <v>19</v>
      </c>
      <c r="M180" s="27">
        <v>141305</v>
      </c>
    </row>
    <row r="181" spans="1:13">
      <c r="A181" s="27">
        <v>2014</v>
      </c>
      <c r="B181" s="27" t="s">
        <v>349</v>
      </c>
      <c r="C181" s="27" t="s">
        <v>467</v>
      </c>
      <c r="D181" s="27">
        <v>23</v>
      </c>
      <c r="E181" s="27" t="s">
        <v>468</v>
      </c>
      <c r="F181" s="37" t="s">
        <v>174</v>
      </c>
      <c r="G181" s="37" t="s">
        <v>377</v>
      </c>
      <c r="H181" s="27" t="s">
        <v>378</v>
      </c>
      <c r="I181" s="27">
        <v>252000</v>
      </c>
      <c r="J181" s="27">
        <v>7890</v>
      </c>
      <c r="K181" s="37">
        <v>0.49299999999999999</v>
      </c>
      <c r="L181" s="37" t="s">
        <v>19</v>
      </c>
      <c r="M181" s="27">
        <v>124236</v>
      </c>
    </row>
    <row r="182" spans="1:13">
      <c r="A182" s="27">
        <v>2014</v>
      </c>
      <c r="B182" s="27" t="s">
        <v>349</v>
      </c>
      <c r="C182" s="27" t="s">
        <v>469</v>
      </c>
      <c r="D182" s="27">
        <v>24</v>
      </c>
      <c r="E182" s="27" t="s">
        <v>470</v>
      </c>
      <c r="F182" s="37" t="s">
        <v>174</v>
      </c>
      <c r="G182" s="37" t="s">
        <v>415</v>
      </c>
      <c r="H182" s="27" t="s">
        <v>416</v>
      </c>
      <c r="I182" s="27">
        <v>278000</v>
      </c>
      <c r="J182" s="27">
        <v>10450</v>
      </c>
      <c r="K182" s="37">
        <v>0.50600000000000001</v>
      </c>
      <c r="L182" s="37" t="s">
        <v>19</v>
      </c>
      <c r="M182" s="27">
        <v>140668</v>
      </c>
    </row>
    <row r="183" spans="1:13">
      <c r="A183" s="27">
        <v>2014</v>
      </c>
      <c r="B183" s="27" t="s">
        <v>349</v>
      </c>
      <c r="C183" s="27" t="s">
        <v>471</v>
      </c>
      <c r="D183" s="27">
        <v>25</v>
      </c>
      <c r="E183" s="27" t="s">
        <v>437</v>
      </c>
      <c r="F183" s="37" t="s">
        <v>174</v>
      </c>
      <c r="G183" s="37" t="s">
        <v>415</v>
      </c>
      <c r="H183" s="27" t="s">
        <v>416</v>
      </c>
      <c r="I183" s="27">
        <v>262000</v>
      </c>
      <c r="J183" s="27">
        <v>9870</v>
      </c>
      <c r="K183" s="37">
        <v>0.51100000000000001</v>
      </c>
      <c r="L183" s="37" t="s">
        <v>19</v>
      </c>
      <c r="M183" s="27">
        <v>133882</v>
      </c>
    </row>
    <row r="184" spans="1:13">
      <c r="A184" s="27">
        <v>2014</v>
      </c>
      <c r="B184" s="27" t="s">
        <v>349</v>
      </c>
      <c r="C184" s="27" t="s">
        <v>421</v>
      </c>
      <c r="D184" s="27">
        <v>26</v>
      </c>
      <c r="E184" s="27" t="s">
        <v>472</v>
      </c>
      <c r="F184" s="37" t="s">
        <v>174</v>
      </c>
      <c r="G184" s="37" t="s">
        <v>181</v>
      </c>
      <c r="H184" s="27" t="s">
        <v>26</v>
      </c>
      <c r="I184" s="27">
        <v>340000</v>
      </c>
      <c r="J184" s="27">
        <v>5670</v>
      </c>
      <c r="K184" s="37">
        <v>0.46800000000000003</v>
      </c>
      <c r="L184" s="37" t="s">
        <v>19</v>
      </c>
      <c r="M184" s="27">
        <v>159120</v>
      </c>
    </row>
    <row r="185" spans="1:13">
      <c r="A185" s="27">
        <v>2016</v>
      </c>
      <c r="B185" s="27" t="s">
        <v>349</v>
      </c>
      <c r="C185" s="27" t="s">
        <v>473</v>
      </c>
      <c r="D185" s="27">
        <v>27</v>
      </c>
      <c r="E185" s="27" t="s">
        <v>474</v>
      </c>
      <c r="F185" s="37" t="s">
        <v>174</v>
      </c>
      <c r="G185" s="37" t="s">
        <v>475</v>
      </c>
      <c r="H185" s="27" t="s">
        <v>355</v>
      </c>
      <c r="I185" s="27">
        <v>263000</v>
      </c>
      <c r="J185" s="27">
        <v>12450</v>
      </c>
      <c r="K185" s="37">
        <v>0.53400000000000003</v>
      </c>
      <c r="L185" s="37" t="s">
        <v>19</v>
      </c>
      <c r="M185" s="27">
        <v>140442</v>
      </c>
    </row>
    <row r="186" spans="1:13">
      <c r="A186" s="27">
        <v>2018</v>
      </c>
      <c r="B186" s="27" t="s">
        <v>349</v>
      </c>
      <c r="C186" s="27" t="s">
        <v>386</v>
      </c>
      <c r="D186" s="27">
        <v>28</v>
      </c>
      <c r="E186" s="27" t="s">
        <v>476</v>
      </c>
      <c r="F186" s="37" t="s">
        <v>174</v>
      </c>
      <c r="G186" s="37" t="s">
        <v>377</v>
      </c>
      <c r="H186" s="27" t="s">
        <v>378</v>
      </c>
      <c r="I186" s="27">
        <v>310000</v>
      </c>
      <c r="J186" s="27">
        <v>18450</v>
      </c>
      <c r="K186" s="37">
        <v>0.56200000000000006</v>
      </c>
      <c r="L186" s="37" t="s">
        <v>19</v>
      </c>
      <c r="M186" s="27">
        <v>174220</v>
      </c>
    </row>
    <row r="187" spans="1:13">
      <c r="A187" s="27">
        <v>2018</v>
      </c>
      <c r="B187" s="27" t="s">
        <v>349</v>
      </c>
      <c r="C187" s="27" t="s">
        <v>477</v>
      </c>
      <c r="D187" s="27">
        <v>29</v>
      </c>
      <c r="E187" s="27" t="s">
        <v>478</v>
      </c>
      <c r="F187" s="37" t="s">
        <v>178</v>
      </c>
      <c r="G187" s="37" t="s">
        <v>383</v>
      </c>
      <c r="H187" s="27" t="s">
        <v>355</v>
      </c>
      <c r="I187" s="27">
        <v>285000</v>
      </c>
      <c r="J187" s="27">
        <v>14230</v>
      </c>
      <c r="K187" s="37">
        <v>0.54800000000000004</v>
      </c>
      <c r="L187" s="37" t="s">
        <v>19</v>
      </c>
      <c r="M187" s="27">
        <v>156180</v>
      </c>
    </row>
    <row r="188" spans="1:13">
      <c r="A188" s="27">
        <v>2019</v>
      </c>
      <c r="B188" s="27" t="s">
        <v>349</v>
      </c>
      <c r="C188" s="27" t="s">
        <v>479</v>
      </c>
      <c r="D188" s="27">
        <v>30</v>
      </c>
      <c r="E188" s="27" t="s">
        <v>480</v>
      </c>
      <c r="F188" s="37" t="s">
        <v>174</v>
      </c>
      <c r="G188" s="37" t="s">
        <v>481</v>
      </c>
      <c r="H188" s="27" t="s">
        <v>355</v>
      </c>
      <c r="I188" s="27">
        <v>325000</v>
      </c>
      <c r="J188" s="27">
        <v>14560</v>
      </c>
      <c r="K188" s="37">
        <v>0.52600000000000002</v>
      </c>
      <c r="L188" s="37" t="s">
        <v>19</v>
      </c>
      <c r="M188" s="27">
        <v>170950</v>
      </c>
    </row>
    <row r="189" spans="1:13">
      <c r="A189" s="27">
        <v>2019</v>
      </c>
      <c r="B189" s="27" t="s">
        <v>349</v>
      </c>
      <c r="C189" s="27" t="s">
        <v>435</v>
      </c>
      <c r="D189" s="27">
        <v>31</v>
      </c>
      <c r="E189" s="27" t="s">
        <v>436</v>
      </c>
      <c r="F189" s="37" t="s">
        <v>174</v>
      </c>
      <c r="G189" s="37" t="s">
        <v>377</v>
      </c>
      <c r="H189" s="27" t="s">
        <v>378</v>
      </c>
      <c r="I189" s="27">
        <v>228000</v>
      </c>
      <c r="J189" s="27">
        <v>8970</v>
      </c>
      <c r="K189" s="37">
        <v>0.504</v>
      </c>
      <c r="L189" s="37" t="s">
        <v>19</v>
      </c>
      <c r="M189" s="27">
        <v>114912</v>
      </c>
    </row>
    <row r="190" spans="1:13">
      <c r="A190" s="27">
        <v>2019</v>
      </c>
      <c r="B190" s="27" t="s">
        <v>349</v>
      </c>
      <c r="C190" s="27" t="s">
        <v>482</v>
      </c>
      <c r="D190" s="27">
        <v>32</v>
      </c>
      <c r="E190" s="27" t="s">
        <v>483</v>
      </c>
      <c r="F190" s="37" t="s">
        <v>174</v>
      </c>
      <c r="G190" s="37" t="s">
        <v>377</v>
      </c>
      <c r="H190" s="27" t="s">
        <v>378</v>
      </c>
      <c r="I190" s="27">
        <v>255000</v>
      </c>
      <c r="J190" s="27">
        <v>11230</v>
      </c>
      <c r="K190" s="37">
        <v>0.53100000000000003</v>
      </c>
      <c r="L190" s="37" t="s">
        <v>19</v>
      </c>
      <c r="M190" s="27">
        <v>135405</v>
      </c>
    </row>
    <row r="191" spans="1:13">
      <c r="A191" s="27">
        <v>2019</v>
      </c>
      <c r="B191" s="27" t="s">
        <v>349</v>
      </c>
      <c r="C191" s="27" t="s">
        <v>484</v>
      </c>
      <c r="D191" s="27">
        <v>33</v>
      </c>
      <c r="E191" s="27" t="s">
        <v>485</v>
      </c>
      <c r="F191" s="37" t="s">
        <v>174</v>
      </c>
      <c r="G191" s="37" t="s">
        <v>415</v>
      </c>
      <c r="H191" s="27" t="s">
        <v>416</v>
      </c>
      <c r="I191" s="27">
        <v>242000</v>
      </c>
      <c r="J191" s="27">
        <v>6780</v>
      </c>
      <c r="K191" s="37">
        <v>0.48899999999999999</v>
      </c>
      <c r="L191" s="37" t="s">
        <v>19</v>
      </c>
      <c r="M191" s="27">
        <v>118338</v>
      </c>
    </row>
    <row r="192" spans="1:13">
      <c r="A192" s="27">
        <v>2019</v>
      </c>
      <c r="B192" s="27" t="s">
        <v>349</v>
      </c>
      <c r="C192" s="27" t="s">
        <v>453</v>
      </c>
      <c r="D192" s="27">
        <v>34</v>
      </c>
      <c r="E192" s="27" t="s">
        <v>486</v>
      </c>
      <c r="F192" s="37" t="s">
        <v>174</v>
      </c>
      <c r="G192" s="37" t="s">
        <v>409</v>
      </c>
      <c r="H192" s="27" t="s">
        <v>410</v>
      </c>
      <c r="I192" s="27">
        <v>238000</v>
      </c>
      <c r="J192" s="27">
        <v>9120</v>
      </c>
      <c r="K192" s="37">
        <v>0.497</v>
      </c>
      <c r="L192" s="37" t="s">
        <v>19</v>
      </c>
      <c r="M192" s="27">
        <v>118286</v>
      </c>
    </row>
    <row r="193" spans="1:13">
      <c r="A193" s="27">
        <v>2019</v>
      </c>
      <c r="B193" s="27" t="s">
        <v>349</v>
      </c>
      <c r="C193" s="27" t="s">
        <v>487</v>
      </c>
      <c r="D193" s="27">
        <v>35</v>
      </c>
      <c r="E193" s="27" t="s">
        <v>488</v>
      </c>
      <c r="F193" s="37" t="s">
        <v>174</v>
      </c>
      <c r="G193" s="37" t="s">
        <v>383</v>
      </c>
      <c r="H193" s="27" t="s">
        <v>355</v>
      </c>
      <c r="I193" s="27">
        <v>268000</v>
      </c>
      <c r="J193" s="27">
        <v>12340</v>
      </c>
      <c r="K193" s="37">
        <v>0.52400000000000002</v>
      </c>
      <c r="L193" s="37" t="s">
        <v>19</v>
      </c>
      <c r="M193" s="27">
        <v>140432</v>
      </c>
    </row>
    <row r="194" spans="1:13">
      <c r="A194" s="27">
        <v>2019</v>
      </c>
      <c r="B194" s="27" t="s">
        <v>349</v>
      </c>
      <c r="C194" s="27" t="s">
        <v>489</v>
      </c>
      <c r="D194" s="27">
        <v>36</v>
      </c>
      <c r="E194" s="27" t="s">
        <v>490</v>
      </c>
      <c r="F194" s="37" t="s">
        <v>174</v>
      </c>
      <c r="G194" s="37" t="s">
        <v>415</v>
      </c>
      <c r="H194" s="27" t="s">
        <v>416</v>
      </c>
      <c r="I194" s="27">
        <v>292000</v>
      </c>
      <c r="J194" s="27">
        <v>10890</v>
      </c>
      <c r="K194" s="37">
        <v>0.51800000000000002</v>
      </c>
      <c r="L194" s="37" t="s">
        <v>19</v>
      </c>
      <c r="M194" s="27">
        <v>151256</v>
      </c>
    </row>
    <row r="195" spans="1:13">
      <c r="A195" s="27">
        <v>2021</v>
      </c>
      <c r="B195" s="27" t="s">
        <v>349</v>
      </c>
      <c r="C195" s="27" t="s">
        <v>491</v>
      </c>
      <c r="D195" s="27">
        <v>37</v>
      </c>
      <c r="E195" s="27" t="s">
        <v>492</v>
      </c>
      <c r="F195" s="37" t="s">
        <v>174</v>
      </c>
      <c r="G195" s="37" t="s">
        <v>415</v>
      </c>
      <c r="H195" s="27" t="s">
        <v>416</v>
      </c>
      <c r="I195" s="27">
        <v>312000</v>
      </c>
      <c r="J195" s="27">
        <v>12540</v>
      </c>
      <c r="K195" s="37">
        <v>0.52300000000000002</v>
      </c>
      <c r="L195" s="37" t="s">
        <v>19</v>
      </c>
      <c r="M195" s="27">
        <v>163176</v>
      </c>
    </row>
    <row r="196" spans="1:13">
      <c r="A196" s="27">
        <v>2021</v>
      </c>
      <c r="B196" s="27" t="s">
        <v>349</v>
      </c>
      <c r="C196" s="27" t="s">
        <v>493</v>
      </c>
      <c r="D196" s="27">
        <v>38</v>
      </c>
      <c r="E196" s="27" t="s">
        <v>494</v>
      </c>
      <c r="F196" s="37" t="s">
        <v>174</v>
      </c>
      <c r="G196" s="37" t="s">
        <v>415</v>
      </c>
      <c r="H196" s="27" t="s">
        <v>416</v>
      </c>
      <c r="I196" s="27">
        <v>298000</v>
      </c>
      <c r="J196" s="27">
        <v>14670</v>
      </c>
      <c r="K196" s="37">
        <v>0.53800000000000003</v>
      </c>
      <c r="L196" s="37" t="s">
        <v>19</v>
      </c>
      <c r="M196" s="27">
        <v>160324</v>
      </c>
    </row>
    <row r="197" spans="1:13">
      <c r="A197" s="27">
        <v>2022</v>
      </c>
      <c r="B197" s="27" t="s">
        <v>349</v>
      </c>
      <c r="C197" s="27" t="s">
        <v>495</v>
      </c>
      <c r="D197" s="27">
        <v>39</v>
      </c>
      <c r="E197" s="27" t="s">
        <v>496</v>
      </c>
      <c r="F197" s="37" t="s">
        <v>178</v>
      </c>
      <c r="G197" s="37" t="s">
        <v>377</v>
      </c>
      <c r="H197" s="27" t="s">
        <v>378</v>
      </c>
      <c r="I197" s="27">
        <v>335000</v>
      </c>
      <c r="J197" s="27">
        <v>16780</v>
      </c>
      <c r="K197" s="37">
        <v>0.55400000000000005</v>
      </c>
      <c r="L197" s="37" t="s">
        <v>19</v>
      </c>
      <c r="M197" s="27">
        <v>185590</v>
      </c>
    </row>
    <row r="198" spans="1:13">
      <c r="A198" s="27">
        <v>2022</v>
      </c>
      <c r="B198" s="27" t="s">
        <v>349</v>
      </c>
      <c r="C198" s="27" t="s">
        <v>364</v>
      </c>
      <c r="D198" s="27">
        <v>40</v>
      </c>
      <c r="E198" s="27" t="s">
        <v>497</v>
      </c>
      <c r="F198" s="37" t="s">
        <v>178</v>
      </c>
      <c r="G198" s="37" t="s">
        <v>383</v>
      </c>
      <c r="H198" s="27" t="s">
        <v>355</v>
      </c>
      <c r="I198" s="27">
        <v>310000</v>
      </c>
      <c r="J198" s="27">
        <v>13450</v>
      </c>
      <c r="K198" s="37">
        <v>0.54200000000000004</v>
      </c>
      <c r="L198" s="37" t="s">
        <v>19</v>
      </c>
      <c r="M198" s="27">
        <v>168020</v>
      </c>
    </row>
    <row r="199" spans="1:13">
      <c r="A199" s="27">
        <v>2022</v>
      </c>
      <c r="B199" s="27" t="s">
        <v>349</v>
      </c>
      <c r="C199" s="27" t="s">
        <v>498</v>
      </c>
      <c r="D199" s="27">
        <v>41</v>
      </c>
      <c r="E199" s="27" t="s">
        <v>499</v>
      </c>
      <c r="F199" s="37" t="s">
        <v>174</v>
      </c>
      <c r="G199" s="37" t="s">
        <v>377</v>
      </c>
      <c r="H199" s="27" t="s">
        <v>378</v>
      </c>
      <c r="I199" s="27">
        <v>275000</v>
      </c>
      <c r="J199" s="27">
        <v>18920</v>
      </c>
      <c r="K199" s="37">
        <v>0.56799999999999995</v>
      </c>
      <c r="L199" s="37" t="s">
        <v>107</v>
      </c>
      <c r="M199" s="27">
        <v>156200</v>
      </c>
    </row>
    <row r="200" spans="1:13">
      <c r="A200" s="27">
        <v>2024</v>
      </c>
      <c r="B200" s="27" t="s">
        <v>349</v>
      </c>
      <c r="C200" s="27" t="s">
        <v>500</v>
      </c>
      <c r="D200" s="27">
        <v>42</v>
      </c>
      <c r="E200" s="27" t="s">
        <v>501</v>
      </c>
      <c r="F200" s="37" t="s">
        <v>174</v>
      </c>
      <c r="G200" s="37" t="s">
        <v>502</v>
      </c>
      <c r="H200" s="27" t="s">
        <v>39</v>
      </c>
      <c r="I200" s="27">
        <v>295000</v>
      </c>
      <c r="J200" s="27">
        <v>15670</v>
      </c>
      <c r="K200" s="37">
        <v>0.54900000000000004</v>
      </c>
      <c r="L200" s="37" t="s">
        <v>19</v>
      </c>
      <c r="M200" s="27">
        <v>161955</v>
      </c>
    </row>
    <row r="201" spans="1:13">
      <c r="A201" s="27">
        <v>2024</v>
      </c>
      <c r="B201" s="27" t="s">
        <v>349</v>
      </c>
      <c r="C201" s="27" t="s">
        <v>442</v>
      </c>
      <c r="D201" s="27">
        <v>43</v>
      </c>
      <c r="E201" s="27" t="s">
        <v>503</v>
      </c>
      <c r="F201" s="37" t="s">
        <v>174</v>
      </c>
      <c r="G201" s="37" t="s">
        <v>502</v>
      </c>
      <c r="H201" s="27" t="s">
        <v>39</v>
      </c>
      <c r="I201" s="27">
        <v>282000</v>
      </c>
      <c r="J201" s="27">
        <v>12340</v>
      </c>
      <c r="K201" s="37">
        <v>0.53600000000000003</v>
      </c>
      <c r="L201" s="37" t="s">
        <v>107</v>
      </c>
      <c r="M201" s="27">
        <v>151152</v>
      </c>
    </row>
    <row r="202" spans="1:13">
      <c r="A202" s="27">
        <v>2024</v>
      </c>
      <c r="B202" s="27" t="s">
        <v>349</v>
      </c>
      <c r="C202" s="27" t="s">
        <v>405</v>
      </c>
      <c r="D202" s="27">
        <v>44</v>
      </c>
      <c r="E202" s="27" t="s">
        <v>504</v>
      </c>
      <c r="F202" s="37" t="s">
        <v>174</v>
      </c>
      <c r="G202" s="37" t="s">
        <v>415</v>
      </c>
      <c r="H202" s="27" t="s">
        <v>416</v>
      </c>
      <c r="I202" s="27">
        <v>306000</v>
      </c>
      <c r="J202" s="27">
        <v>14890</v>
      </c>
      <c r="K202" s="37">
        <v>0.55200000000000005</v>
      </c>
      <c r="L202" s="37" t="s">
        <v>19</v>
      </c>
      <c r="M202" s="27">
        <v>168912</v>
      </c>
    </row>
    <row r="203" spans="1:13">
      <c r="A203" s="27">
        <v>2024</v>
      </c>
      <c r="B203" s="27" t="s">
        <v>349</v>
      </c>
      <c r="C203" s="27" t="s">
        <v>505</v>
      </c>
      <c r="D203" s="27">
        <v>45</v>
      </c>
      <c r="E203" s="27" t="s">
        <v>506</v>
      </c>
      <c r="F203" s="37" t="s">
        <v>178</v>
      </c>
      <c r="G203" s="37" t="s">
        <v>507</v>
      </c>
      <c r="H203" s="27" t="s">
        <v>355</v>
      </c>
      <c r="I203" s="27">
        <v>268000</v>
      </c>
      <c r="J203" s="27">
        <v>11230</v>
      </c>
      <c r="K203" s="37">
        <v>0.52100000000000002</v>
      </c>
      <c r="L203" s="37" t="s">
        <v>107</v>
      </c>
      <c r="M203" s="27">
        <v>139588</v>
      </c>
    </row>
    <row r="204" spans="1:13">
      <c r="A204" s="27">
        <v>1961</v>
      </c>
      <c r="B204" s="27" t="s">
        <v>508</v>
      </c>
      <c r="C204" s="27" t="s">
        <v>509</v>
      </c>
      <c r="D204" s="27">
        <v>1</v>
      </c>
      <c r="E204" s="27" t="s">
        <v>510</v>
      </c>
      <c r="F204" s="37" t="s">
        <v>178</v>
      </c>
      <c r="G204" s="37" t="s">
        <v>181</v>
      </c>
      <c r="H204" s="27" t="s">
        <v>26</v>
      </c>
      <c r="I204" s="27">
        <v>450000</v>
      </c>
      <c r="J204" s="27">
        <v>28450</v>
      </c>
      <c r="K204" s="37">
        <v>0.52800000000000002</v>
      </c>
      <c r="L204" s="37" t="s">
        <v>19</v>
      </c>
      <c r="M204" s="27">
        <v>237600</v>
      </c>
    </row>
    <row r="205" spans="1:13">
      <c r="A205" s="27">
        <v>1985</v>
      </c>
      <c r="B205" s="27" t="s">
        <v>508</v>
      </c>
      <c r="C205" s="27" t="s">
        <v>511</v>
      </c>
      <c r="D205" s="27">
        <v>2</v>
      </c>
      <c r="E205" s="27" t="s">
        <v>512</v>
      </c>
      <c r="F205" s="37" t="s">
        <v>174</v>
      </c>
      <c r="G205" s="37" t="s">
        <v>409</v>
      </c>
      <c r="H205" s="27" t="s">
        <v>410</v>
      </c>
      <c r="I205" s="27">
        <v>980000</v>
      </c>
      <c r="J205" s="27">
        <v>15670</v>
      </c>
      <c r="K205" s="37">
        <v>0.45300000000000001</v>
      </c>
      <c r="L205" s="37" t="s">
        <v>19</v>
      </c>
      <c r="M205" s="27">
        <v>443940</v>
      </c>
    </row>
    <row r="206" spans="1:13">
      <c r="A206" s="27">
        <v>1992</v>
      </c>
      <c r="B206" s="27" t="s">
        <v>508</v>
      </c>
      <c r="C206" s="27" t="s">
        <v>509</v>
      </c>
      <c r="D206" s="27">
        <v>3</v>
      </c>
      <c r="E206" s="27" t="s">
        <v>513</v>
      </c>
      <c r="F206" s="37" t="s">
        <v>174</v>
      </c>
      <c r="G206" s="37" t="s">
        <v>181</v>
      </c>
      <c r="H206" s="27" t="s">
        <v>26</v>
      </c>
      <c r="I206" s="27">
        <v>520000</v>
      </c>
      <c r="J206" s="27">
        <v>24890</v>
      </c>
      <c r="K206" s="37">
        <v>0.54600000000000004</v>
      </c>
      <c r="L206" s="37" t="s">
        <v>19</v>
      </c>
      <c r="M206" s="27">
        <v>283920</v>
      </c>
    </row>
    <row r="207" spans="1:13">
      <c r="A207" s="27">
        <v>1997</v>
      </c>
      <c r="B207" s="27" t="s">
        <v>508</v>
      </c>
      <c r="C207" s="27" t="s">
        <v>514</v>
      </c>
      <c r="D207" s="27">
        <v>4</v>
      </c>
      <c r="E207" s="27" t="s">
        <v>515</v>
      </c>
      <c r="F207" s="37" t="s">
        <v>174</v>
      </c>
      <c r="G207" s="37" t="s">
        <v>502</v>
      </c>
      <c r="H207" s="27" t="s">
        <v>39</v>
      </c>
      <c r="I207" s="27">
        <v>543037</v>
      </c>
      <c r="J207" s="27">
        <v>18557</v>
      </c>
      <c r="K207" s="37">
        <v>0.48699999999999999</v>
      </c>
      <c r="L207" s="37" t="s">
        <v>19</v>
      </c>
      <c r="M207" s="27">
        <v>264550</v>
      </c>
    </row>
    <row r="208" spans="1:13">
      <c r="A208" s="27">
        <v>1997</v>
      </c>
      <c r="B208" s="27" t="s">
        <v>508</v>
      </c>
      <c r="C208" s="27" t="s">
        <v>516</v>
      </c>
      <c r="D208" s="27">
        <v>1</v>
      </c>
      <c r="E208" s="27" t="s">
        <v>517</v>
      </c>
      <c r="F208" s="37" t="s">
        <v>174</v>
      </c>
      <c r="G208" s="37" t="s">
        <v>181</v>
      </c>
      <c r="H208" s="27" t="s">
        <v>26</v>
      </c>
      <c r="I208" s="27">
        <v>125000</v>
      </c>
      <c r="J208" s="27">
        <v>8450</v>
      </c>
      <c r="K208" s="37">
        <v>0.52300000000000002</v>
      </c>
      <c r="L208" s="37" t="s">
        <v>19</v>
      </c>
      <c r="M208" s="27">
        <v>65375</v>
      </c>
    </row>
    <row r="209" spans="1:13">
      <c r="A209" s="27">
        <v>2004</v>
      </c>
      <c r="B209" s="27" t="s">
        <v>508</v>
      </c>
      <c r="C209" s="27" t="s">
        <v>518</v>
      </c>
      <c r="D209" s="27" t="s">
        <v>533</v>
      </c>
      <c r="E209" s="27" t="s">
        <v>519</v>
      </c>
      <c r="F209" s="37" t="s">
        <v>174</v>
      </c>
      <c r="G209" s="37" t="s">
        <v>181</v>
      </c>
      <c r="H209" s="27" t="s">
        <v>26</v>
      </c>
      <c r="I209" s="27">
        <v>125000</v>
      </c>
      <c r="J209" s="27">
        <v>7450</v>
      </c>
      <c r="K209" s="37">
        <v>54</v>
      </c>
      <c r="L209" s="37" t="s">
        <v>19</v>
      </c>
      <c r="M209" s="27">
        <v>66452</v>
      </c>
    </row>
    <row r="210" spans="1:13">
      <c r="A210" s="27">
        <v>2008</v>
      </c>
      <c r="B210" s="27" t="s">
        <v>508</v>
      </c>
      <c r="C210" s="27" t="s">
        <v>520</v>
      </c>
      <c r="D210" s="27">
        <v>2</v>
      </c>
      <c r="E210" s="27" t="s">
        <v>521</v>
      </c>
      <c r="F210" s="37" t="s">
        <v>174</v>
      </c>
      <c r="G210" s="37" t="s">
        <v>181</v>
      </c>
      <c r="H210" s="27" t="s">
        <v>26</v>
      </c>
      <c r="I210" s="27">
        <v>145000</v>
      </c>
      <c r="J210" s="27">
        <v>6780</v>
      </c>
      <c r="K210" s="37">
        <v>0.48899999999999999</v>
      </c>
      <c r="L210" s="37" t="s">
        <v>19</v>
      </c>
      <c r="M210" s="27">
        <v>70905</v>
      </c>
    </row>
    <row r="211" spans="1:13">
      <c r="A211" s="27">
        <v>2013</v>
      </c>
      <c r="B211" s="27" t="s">
        <v>508</v>
      </c>
      <c r="C211" s="27" t="s">
        <v>522</v>
      </c>
      <c r="D211" s="27">
        <v>3</v>
      </c>
      <c r="E211" s="27" t="s">
        <v>523</v>
      </c>
      <c r="F211" s="37" t="s">
        <v>174</v>
      </c>
      <c r="G211" s="37" t="s">
        <v>383</v>
      </c>
      <c r="H211" s="27" t="s">
        <v>355</v>
      </c>
      <c r="I211" s="27">
        <v>168000</v>
      </c>
      <c r="J211" s="27">
        <v>12340</v>
      </c>
      <c r="K211" s="37">
        <v>0.54200000000000004</v>
      </c>
      <c r="L211" s="37" t="s">
        <v>107</v>
      </c>
      <c r="M211" s="27">
        <v>91056</v>
      </c>
    </row>
    <row r="212" spans="1:13">
      <c r="A212" s="27">
        <v>2014</v>
      </c>
      <c r="B212" s="27" t="s">
        <v>508</v>
      </c>
      <c r="C212" s="27" t="s">
        <v>524</v>
      </c>
      <c r="D212" s="27">
        <v>4</v>
      </c>
      <c r="E212" s="27" t="s">
        <v>525</v>
      </c>
      <c r="F212" s="37" t="s">
        <v>178</v>
      </c>
      <c r="G212" s="37" t="s">
        <v>181</v>
      </c>
      <c r="H212" s="27" t="s">
        <v>26</v>
      </c>
      <c r="I212" s="27">
        <v>172000</v>
      </c>
      <c r="J212" s="27">
        <v>5670</v>
      </c>
      <c r="K212" s="37">
        <v>0.46800000000000003</v>
      </c>
      <c r="L212" s="37" t="s">
        <v>19</v>
      </c>
      <c r="M212" s="27">
        <v>80496</v>
      </c>
    </row>
    <row r="213" spans="1:13">
      <c r="A213" s="27">
        <v>2017</v>
      </c>
      <c r="B213" s="27" t="s">
        <v>508</v>
      </c>
      <c r="C213" s="27" t="s">
        <v>520</v>
      </c>
      <c r="D213" s="27">
        <v>5</v>
      </c>
      <c r="E213" s="27" t="s">
        <v>526</v>
      </c>
      <c r="F213" s="37" t="s">
        <v>174</v>
      </c>
      <c r="G213" s="37" t="s">
        <v>383</v>
      </c>
      <c r="H213" s="27" t="s">
        <v>355</v>
      </c>
      <c r="I213" s="27">
        <v>178000</v>
      </c>
      <c r="J213" s="27">
        <v>18920</v>
      </c>
      <c r="K213" s="37">
        <v>0.56399999999999995</v>
      </c>
      <c r="L213" s="37" t="s">
        <v>19</v>
      </c>
      <c r="M213" s="27">
        <v>100392</v>
      </c>
    </row>
    <row r="214" spans="1:13">
      <c r="A214" s="27">
        <v>2017</v>
      </c>
      <c r="B214" s="27" t="s">
        <v>508</v>
      </c>
      <c r="C214" s="27" t="s">
        <v>527</v>
      </c>
      <c r="D214" s="27">
        <v>6</v>
      </c>
      <c r="E214" s="27" t="s">
        <v>528</v>
      </c>
      <c r="F214" s="37" t="s">
        <v>174</v>
      </c>
      <c r="G214" s="37" t="s">
        <v>529</v>
      </c>
      <c r="H214" s="27" t="s">
        <v>530</v>
      </c>
      <c r="I214" s="27">
        <v>285000</v>
      </c>
      <c r="J214" s="27">
        <v>24560</v>
      </c>
      <c r="K214" s="37">
        <v>0.58199999999999996</v>
      </c>
      <c r="L214" s="37" t="s">
        <v>107</v>
      </c>
      <c r="M214" s="27">
        <v>165870</v>
      </c>
    </row>
    <row r="215" spans="1:13">
      <c r="A215" s="27">
        <v>2022</v>
      </c>
      <c r="B215" s="27" t="s">
        <v>508</v>
      </c>
      <c r="C215" s="27" t="s">
        <v>531</v>
      </c>
      <c r="D215" s="27">
        <v>7</v>
      </c>
      <c r="E215" s="27" t="s">
        <v>532</v>
      </c>
      <c r="F215" s="37" t="s">
        <v>174</v>
      </c>
      <c r="G215" s="37" t="s">
        <v>529</v>
      </c>
      <c r="H215" s="27" t="s">
        <v>530</v>
      </c>
      <c r="I215" s="27">
        <v>165000</v>
      </c>
      <c r="J215" s="27">
        <v>11560</v>
      </c>
      <c r="K215" s="37">
        <v>0.42199999999999999</v>
      </c>
      <c r="L215" s="37" t="s">
        <v>19</v>
      </c>
      <c r="M215" s="27">
        <v>69630</v>
      </c>
    </row>
    <row r="216" spans="1:13">
      <c r="A216" s="28">
        <v>1996</v>
      </c>
      <c r="B216" s="28" t="s">
        <v>534</v>
      </c>
      <c r="C216" s="28" t="s">
        <v>551</v>
      </c>
      <c r="D216" s="23">
        <v>36</v>
      </c>
      <c r="E216" s="28" t="s">
        <v>552</v>
      </c>
      <c r="F216" s="37" t="s">
        <v>174</v>
      </c>
      <c r="G216" s="37" t="s">
        <v>1120</v>
      </c>
      <c r="H216" s="28" t="s">
        <v>537</v>
      </c>
      <c r="I216" s="29">
        <v>23283</v>
      </c>
      <c r="J216" s="29">
        <v>4307</v>
      </c>
      <c r="K216" s="37">
        <v>0.53449999999999998</v>
      </c>
      <c r="L216" s="37" t="s">
        <v>22</v>
      </c>
      <c r="M216" s="29">
        <v>19564</v>
      </c>
    </row>
    <row r="217" spans="1:13">
      <c r="A217" s="28">
        <v>1996</v>
      </c>
      <c r="B217" s="28" t="s">
        <v>534</v>
      </c>
      <c r="C217" s="28" t="s">
        <v>553</v>
      </c>
      <c r="D217" s="23">
        <v>60</v>
      </c>
      <c r="E217" s="28" t="s">
        <v>554</v>
      </c>
      <c r="F217" s="37" t="s">
        <v>174</v>
      </c>
      <c r="G217" s="37" t="s">
        <v>1120</v>
      </c>
      <c r="H217" s="28" t="s">
        <v>537</v>
      </c>
      <c r="I217" s="29">
        <v>20451</v>
      </c>
      <c r="J217" s="29">
        <v>3348</v>
      </c>
      <c r="K217" s="37">
        <v>0.48380000000000001</v>
      </c>
      <c r="L217" s="37" t="s">
        <v>22</v>
      </c>
      <c r="M217" s="29">
        <v>16342</v>
      </c>
    </row>
    <row r="218" spans="1:13">
      <c r="A218" s="28">
        <v>2001</v>
      </c>
      <c r="B218" s="28" t="s">
        <v>534</v>
      </c>
      <c r="C218" s="28" t="s">
        <v>555</v>
      </c>
      <c r="D218" s="23">
        <v>9</v>
      </c>
      <c r="E218" s="28" t="s">
        <v>556</v>
      </c>
      <c r="F218" s="37" t="s">
        <v>174</v>
      </c>
      <c r="G218" s="37" t="s">
        <v>1126</v>
      </c>
      <c r="H218" s="28" t="s">
        <v>557</v>
      </c>
      <c r="I218" s="29">
        <v>22812</v>
      </c>
      <c r="J218" s="29">
        <v>1542</v>
      </c>
      <c r="K218" s="37">
        <v>0.51200000000000001</v>
      </c>
      <c r="L218" s="37" t="s">
        <v>19</v>
      </c>
      <c r="M218" s="29">
        <v>18142</v>
      </c>
    </row>
    <row r="219" spans="1:13">
      <c r="A219" s="28">
        <v>2012</v>
      </c>
      <c r="B219" s="28" t="s">
        <v>534</v>
      </c>
      <c r="C219" s="28" t="s">
        <v>558</v>
      </c>
      <c r="D219" s="23">
        <v>21</v>
      </c>
      <c r="E219" s="28" t="s">
        <v>559</v>
      </c>
      <c r="F219" s="37" t="s">
        <v>174</v>
      </c>
      <c r="G219" s="37" t="s">
        <v>1120</v>
      </c>
      <c r="H219" s="28" t="s">
        <v>537</v>
      </c>
      <c r="I219" s="29">
        <v>25643</v>
      </c>
      <c r="J219" s="29">
        <v>3820</v>
      </c>
      <c r="K219" s="37">
        <v>0.9345</v>
      </c>
      <c r="L219" s="37" t="s">
        <v>107</v>
      </c>
      <c r="M219" s="29">
        <v>23982</v>
      </c>
    </row>
    <row r="220" spans="1:13">
      <c r="A220" s="28">
        <v>2014</v>
      </c>
      <c r="B220" s="28" t="s">
        <v>534</v>
      </c>
      <c r="C220" s="28" t="s">
        <v>560</v>
      </c>
      <c r="D220" s="23">
        <v>40</v>
      </c>
      <c r="E220" s="28" t="s">
        <v>561</v>
      </c>
      <c r="F220" s="37" t="s">
        <v>174</v>
      </c>
      <c r="G220" s="37" t="s">
        <v>1120</v>
      </c>
      <c r="H220" s="28" t="s">
        <v>537</v>
      </c>
      <c r="I220" s="29">
        <v>38941</v>
      </c>
      <c r="J220" s="29">
        <v>15971</v>
      </c>
      <c r="K220" s="37">
        <v>0.93100000000000005</v>
      </c>
      <c r="L220" s="37" t="s">
        <v>22</v>
      </c>
      <c r="M220" s="29">
        <v>36215</v>
      </c>
    </row>
    <row r="221" spans="1:13">
      <c r="A221" s="28">
        <v>2015</v>
      </c>
      <c r="B221" s="28" t="s">
        <v>534</v>
      </c>
      <c r="C221" s="28" t="s">
        <v>562</v>
      </c>
      <c r="D221" s="23">
        <v>6</v>
      </c>
      <c r="E221" s="28" t="s">
        <v>563</v>
      </c>
      <c r="F221" s="37" t="s">
        <v>174</v>
      </c>
      <c r="G221" s="37" t="s">
        <v>1120</v>
      </c>
      <c r="H221" s="28" t="s">
        <v>537</v>
      </c>
      <c r="I221" s="29">
        <v>50214</v>
      </c>
      <c r="J221" s="29">
        <v>17326</v>
      </c>
      <c r="K221" s="37">
        <v>0.92510000000000003</v>
      </c>
      <c r="L221" s="37" t="s">
        <v>107</v>
      </c>
      <c r="M221" s="29">
        <v>46312</v>
      </c>
    </row>
    <row r="222" spans="1:13">
      <c r="A222" s="28">
        <v>2015</v>
      </c>
      <c r="B222" s="28" t="s">
        <v>534</v>
      </c>
      <c r="C222" s="28" t="s">
        <v>564</v>
      </c>
      <c r="D222" s="23">
        <v>24</v>
      </c>
      <c r="E222" s="28" t="s">
        <v>565</v>
      </c>
      <c r="F222" s="37" t="s">
        <v>174</v>
      </c>
      <c r="G222" s="37" t="s">
        <v>1120</v>
      </c>
      <c r="H222" s="28" t="s">
        <v>537</v>
      </c>
      <c r="I222" s="29">
        <v>42311</v>
      </c>
      <c r="J222" s="29">
        <v>15309</v>
      </c>
      <c r="K222" s="37">
        <v>0.91820000000000002</v>
      </c>
      <c r="L222" s="37" t="s">
        <v>107</v>
      </c>
      <c r="M222" s="29">
        <v>38812</v>
      </c>
    </row>
    <row r="223" spans="1:13">
      <c r="A223" s="28">
        <v>2016</v>
      </c>
      <c r="B223" s="28" t="s">
        <v>534</v>
      </c>
      <c r="C223" s="28" t="s">
        <v>566</v>
      </c>
      <c r="D223" s="23">
        <v>32</v>
      </c>
      <c r="E223" s="28" t="s">
        <v>567</v>
      </c>
      <c r="F223" s="37" t="s">
        <v>174</v>
      </c>
      <c r="G223" s="37" t="s">
        <v>1120</v>
      </c>
      <c r="H223" s="28" t="s">
        <v>537</v>
      </c>
      <c r="I223" s="29">
        <v>38912</v>
      </c>
      <c r="J223" s="29">
        <v>10597</v>
      </c>
      <c r="K223" s="37">
        <v>0.91239999999999999</v>
      </c>
      <c r="L223" s="37" t="s">
        <v>19</v>
      </c>
      <c r="M223" s="29">
        <v>35412</v>
      </c>
    </row>
    <row r="224" spans="1:13">
      <c r="A224" s="28">
        <v>2016</v>
      </c>
      <c r="B224" s="28" t="s">
        <v>534</v>
      </c>
      <c r="C224" s="28" t="s">
        <v>568</v>
      </c>
      <c r="D224" s="23">
        <v>4</v>
      </c>
      <c r="E224" s="28" t="s">
        <v>569</v>
      </c>
      <c r="F224" s="37" t="s">
        <v>178</v>
      </c>
      <c r="G224" s="37" t="s">
        <v>1120</v>
      </c>
      <c r="H224" s="28" t="s">
        <v>537</v>
      </c>
      <c r="I224" s="29">
        <v>39214</v>
      </c>
      <c r="J224" s="29">
        <v>3374</v>
      </c>
      <c r="K224" s="37">
        <v>0.87649999999999995</v>
      </c>
      <c r="L224" s="37" t="s">
        <v>107</v>
      </c>
      <c r="M224" s="29">
        <v>34212</v>
      </c>
    </row>
    <row r="225" spans="1:13">
      <c r="A225" s="28">
        <v>2016</v>
      </c>
      <c r="B225" s="28" t="s">
        <v>534</v>
      </c>
      <c r="C225" s="28" t="s">
        <v>570</v>
      </c>
      <c r="D225" s="23">
        <v>27</v>
      </c>
      <c r="E225" s="28" t="s">
        <v>571</v>
      </c>
      <c r="F225" s="37" t="s">
        <v>174</v>
      </c>
      <c r="G225" s="37" t="s">
        <v>1120</v>
      </c>
      <c r="H225" s="28" t="s">
        <v>537</v>
      </c>
      <c r="I225" s="29">
        <v>37924</v>
      </c>
      <c r="J225" s="29">
        <v>16047</v>
      </c>
      <c r="K225" s="37">
        <v>0.93720000000000003</v>
      </c>
      <c r="L225" s="37" t="s">
        <v>19</v>
      </c>
      <c r="M225" s="29">
        <v>35512</v>
      </c>
    </row>
    <row r="226" spans="1:13">
      <c r="A226" s="28">
        <v>2019</v>
      </c>
      <c r="B226" s="28" t="s">
        <v>534</v>
      </c>
      <c r="C226" s="28" t="s">
        <v>572</v>
      </c>
      <c r="D226" s="23">
        <v>7</v>
      </c>
      <c r="E226" s="28" t="s">
        <v>573</v>
      </c>
      <c r="F226" s="37" t="s">
        <v>178</v>
      </c>
      <c r="G226" s="37" t="s">
        <v>502</v>
      </c>
      <c r="H226" s="28" t="s">
        <v>39</v>
      </c>
      <c r="I226" s="29">
        <v>57412</v>
      </c>
      <c r="J226" s="29">
        <v>5276</v>
      </c>
      <c r="K226" s="37">
        <v>0.79200000000000004</v>
      </c>
      <c r="L226" s="37" t="s">
        <v>107</v>
      </c>
      <c r="M226" s="29">
        <v>45412</v>
      </c>
    </row>
    <row r="227" spans="1:13">
      <c r="A227" s="28">
        <v>2022</v>
      </c>
      <c r="B227" s="28" t="s">
        <v>534</v>
      </c>
      <c r="C227" s="28" t="s">
        <v>574</v>
      </c>
      <c r="D227" s="23">
        <v>6</v>
      </c>
      <c r="E227" s="28" t="s">
        <v>575</v>
      </c>
      <c r="F227" s="37" t="s">
        <v>174</v>
      </c>
      <c r="G227" s="37" t="s">
        <v>181</v>
      </c>
      <c r="H227" s="28" t="s">
        <v>26</v>
      </c>
      <c r="I227" s="29">
        <v>51412</v>
      </c>
      <c r="J227" s="29">
        <v>3163</v>
      </c>
      <c r="K227" s="37">
        <v>0.78269999999999995</v>
      </c>
      <c r="L227" s="37" t="s">
        <v>19</v>
      </c>
      <c r="M227" s="29">
        <v>40241</v>
      </c>
    </row>
    <row r="228" spans="1:13">
      <c r="A228" s="28">
        <v>2022</v>
      </c>
      <c r="B228" s="28" t="s">
        <v>534</v>
      </c>
      <c r="C228" s="28" t="s">
        <v>576</v>
      </c>
      <c r="D228" s="23">
        <v>8</v>
      </c>
      <c r="E228" s="28" t="s">
        <v>577</v>
      </c>
      <c r="F228" s="37" t="s">
        <v>174</v>
      </c>
      <c r="G228" s="37" t="s">
        <v>502</v>
      </c>
      <c r="H228" s="28" t="s">
        <v>39</v>
      </c>
      <c r="I228" s="29">
        <v>46214</v>
      </c>
      <c r="J228" s="29">
        <v>6104</v>
      </c>
      <c r="K228" s="37">
        <v>0.71499999999999997</v>
      </c>
      <c r="L228" s="37" t="s">
        <v>19</v>
      </c>
      <c r="M228" s="29">
        <v>33124</v>
      </c>
    </row>
    <row r="229" spans="1:13">
      <c r="A229" s="28">
        <v>2022</v>
      </c>
      <c r="B229" s="28" t="s">
        <v>534</v>
      </c>
      <c r="C229" s="28" t="s">
        <v>564</v>
      </c>
      <c r="D229" s="23">
        <v>46</v>
      </c>
      <c r="E229" s="28" t="s">
        <v>578</v>
      </c>
      <c r="F229" s="37" t="s">
        <v>178</v>
      </c>
      <c r="G229" s="37" t="s">
        <v>502</v>
      </c>
      <c r="H229" s="28" t="s">
        <v>39</v>
      </c>
      <c r="I229" s="29">
        <v>44214</v>
      </c>
      <c r="J229" s="29">
        <v>4583</v>
      </c>
      <c r="K229" s="37">
        <v>0.83020000000000005</v>
      </c>
      <c r="L229" s="37" t="s">
        <v>107</v>
      </c>
      <c r="M229" s="29">
        <v>36712</v>
      </c>
    </row>
    <row r="230" spans="1:13">
      <c r="A230" s="28">
        <v>2022</v>
      </c>
      <c r="B230" s="28" t="s">
        <v>534</v>
      </c>
      <c r="C230" s="28" t="s">
        <v>579</v>
      </c>
      <c r="D230" s="23">
        <v>57</v>
      </c>
      <c r="E230" s="28" t="s">
        <v>580</v>
      </c>
      <c r="F230" s="37" t="s">
        <v>178</v>
      </c>
      <c r="G230" s="37" t="s">
        <v>502</v>
      </c>
      <c r="H230" s="28" t="s">
        <v>39</v>
      </c>
      <c r="I230" s="29">
        <v>41214</v>
      </c>
      <c r="J230" s="29">
        <v>4572</v>
      </c>
      <c r="K230" s="37">
        <v>0.83479999999999999</v>
      </c>
      <c r="L230" s="37" t="s">
        <v>19</v>
      </c>
      <c r="M230" s="29">
        <v>34412</v>
      </c>
    </row>
    <row r="231" spans="1:13">
      <c r="A231" s="28">
        <v>2023</v>
      </c>
      <c r="B231" s="28" t="s">
        <v>534</v>
      </c>
      <c r="C231" s="28" t="s">
        <v>581</v>
      </c>
      <c r="D231" s="23">
        <v>20</v>
      </c>
      <c r="E231" s="28" t="s">
        <v>582</v>
      </c>
      <c r="F231" s="37" t="s">
        <v>174</v>
      </c>
      <c r="G231" s="37" t="s">
        <v>502</v>
      </c>
      <c r="H231" s="28" t="s">
        <v>39</v>
      </c>
      <c r="I231" s="29">
        <v>38124</v>
      </c>
      <c r="J231" s="29">
        <v>30237</v>
      </c>
      <c r="K231" s="37">
        <v>0.89200000000000002</v>
      </c>
      <c r="L231" s="37" t="s">
        <v>19</v>
      </c>
      <c r="M231" s="29">
        <v>34012</v>
      </c>
    </row>
    <row r="232" spans="1:13">
      <c r="A232" s="28">
        <v>2023</v>
      </c>
      <c r="B232" s="28" t="s">
        <v>534</v>
      </c>
      <c r="C232" s="28" t="s">
        <v>583</v>
      </c>
      <c r="D232" s="23">
        <v>23</v>
      </c>
      <c r="E232" s="28" t="s">
        <v>584</v>
      </c>
      <c r="F232" s="37" t="s">
        <v>174</v>
      </c>
      <c r="G232" s="37" t="s">
        <v>502</v>
      </c>
      <c r="H232" s="28" t="s">
        <v>39</v>
      </c>
      <c r="I232" s="29">
        <v>41214</v>
      </c>
      <c r="J232" s="29">
        <v>18871</v>
      </c>
      <c r="K232" s="37">
        <v>0.84099999999999997</v>
      </c>
      <c r="L232" s="37" t="s">
        <v>19</v>
      </c>
      <c r="M232" s="29">
        <v>34612</v>
      </c>
    </row>
    <row r="233" spans="1:13">
      <c r="A233" s="28">
        <v>2024</v>
      </c>
      <c r="B233" s="28" t="s">
        <v>534</v>
      </c>
      <c r="C233" s="28" t="s">
        <v>585</v>
      </c>
      <c r="D233" s="23">
        <v>7</v>
      </c>
      <c r="E233" s="28" t="s">
        <v>586</v>
      </c>
      <c r="F233" s="37" t="s">
        <v>174</v>
      </c>
      <c r="G233" s="37" t="s">
        <v>502</v>
      </c>
      <c r="H233" s="28" t="s">
        <v>39</v>
      </c>
      <c r="I233" s="29">
        <v>45124</v>
      </c>
      <c r="J233" s="29">
        <v>18014</v>
      </c>
      <c r="K233" s="37">
        <v>0.81299999999999994</v>
      </c>
      <c r="L233" s="37" t="s">
        <v>19</v>
      </c>
      <c r="M233" s="29">
        <v>36612</v>
      </c>
    </row>
    <row r="234" spans="1:13">
      <c r="A234" s="28">
        <v>2018</v>
      </c>
      <c r="B234" s="28" t="s">
        <v>540</v>
      </c>
      <c r="C234" s="28" t="s">
        <v>587</v>
      </c>
      <c r="D234" s="23">
        <v>51</v>
      </c>
      <c r="E234" s="28" t="s">
        <v>548</v>
      </c>
      <c r="F234" s="37" t="s">
        <v>174</v>
      </c>
      <c r="G234" s="37" t="s">
        <v>1127</v>
      </c>
      <c r="H234" s="28" t="s">
        <v>550</v>
      </c>
      <c r="I234" s="29">
        <v>30124</v>
      </c>
      <c r="J234" s="29">
        <v>8421</v>
      </c>
      <c r="K234" s="37">
        <v>0.72889999999999999</v>
      </c>
      <c r="L234" s="37" t="s">
        <v>22</v>
      </c>
      <c r="M234" s="29">
        <v>21984</v>
      </c>
    </row>
    <row r="235" spans="1:13">
      <c r="A235" s="28">
        <v>2018</v>
      </c>
      <c r="B235" s="28" t="s">
        <v>540</v>
      </c>
      <c r="C235" s="28" t="s">
        <v>588</v>
      </c>
      <c r="D235" s="23">
        <v>35</v>
      </c>
      <c r="E235" s="28" t="s">
        <v>589</v>
      </c>
      <c r="F235" s="37" t="s">
        <v>174</v>
      </c>
      <c r="G235" s="37" t="s">
        <v>1128</v>
      </c>
      <c r="H235" s="28" t="s">
        <v>590</v>
      </c>
      <c r="I235" s="29">
        <v>28412</v>
      </c>
      <c r="J235" s="29">
        <v>3396</v>
      </c>
      <c r="K235" s="37">
        <v>0.82399999999999995</v>
      </c>
      <c r="L235" s="37" t="s">
        <v>22</v>
      </c>
      <c r="M235" s="29">
        <v>23412</v>
      </c>
    </row>
    <row r="236" spans="1:13">
      <c r="A236" s="28">
        <v>2019</v>
      </c>
      <c r="B236" s="28" t="s">
        <v>540</v>
      </c>
      <c r="C236" s="28" t="s">
        <v>591</v>
      </c>
      <c r="D236" s="23">
        <v>26</v>
      </c>
      <c r="E236" s="28" t="s">
        <v>592</v>
      </c>
      <c r="F236" s="37" t="s">
        <v>174</v>
      </c>
      <c r="G236" s="37" t="s">
        <v>1128</v>
      </c>
      <c r="H236" s="28" t="s">
        <v>590</v>
      </c>
      <c r="I236" s="29">
        <v>29124</v>
      </c>
      <c r="J236" s="29">
        <v>6221</v>
      </c>
      <c r="K236" s="37">
        <v>0.85199999999999998</v>
      </c>
      <c r="L236" s="37" t="s">
        <v>22</v>
      </c>
      <c r="M236" s="29">
        <v>24812</v>
      </c>
    </row>
    <row r="237" spans="1:13">
      <c r="A237" s="28">
        <v>2021</v>
      </c>
      <c r="B237" s="28" t="s">
        <v>540</v>
      </c>
      <c r="C237" s="28" t="s">
        <v>593</v>
      </c>
      <c r="D237" s="23">
        <v>13</v>
      </c>
      <c r="E237" s="28" t="s">
        <v>594</v>
      </c>
      <c r="F237" s="37" t="s">
        <v>174</v>
      </c>
      <c r="G237" s="37" t="s">
        <v>1127</v>
      </c>
      <c r="H237" s="28" t="s">
        <v>550</v>
      </c>
      <c r="I237" s="29">
        <v>32124</v>
      </c>
      <c r="J237" s="29">
        <v>1816</v>
      </c>
      <c r="K237" s="37">
        <v>0.751</v>
      </c>
      <c r="L237" s="37" t="s">
        <v>22</v>
      </c>
      <c r="M237" s="29">
        <v>24124</v>
      </c>
    </row>
    <row r="238" spans="1:13">
      <c r="A238" s="28">
        <v>2021</v>
      </c>
      <c r="B238" s="28" t="s">
        <v>540</v>
      </c>
      <c r="C238" s="28" t="s">
        <v>595</v>
      </c>
      <c r="D238" s="23">
        <v>15</v>
      </c>
      <c r="E238" s="28" t="s">
        <v>596</v>
      </c>
      <c r="F238" s="37" t="s">
        <v>174</v>
      </c>
      <c r="G238" s="37" t="s">
        <v>1128</v>
      </c>
      <c r="H238" s="28" t="s">
        <v>590</v>
      </c>
      <c r="I238" s="29">
        <v>31412</v>
      </c>
      <c r="J238" s="29">
        <v>4401</v>
      </c>
      <c r="K238" s="37">
        <v>0.76900000000000002</v>
      </c>
      <c r="L238" s="37" t="s">
        <v>22</v>
      </c>
      <c r="M238" s="29">
        <v>24152</v>
      </c>
    </row>
    <row r="239" spans="1:13">
      <c r="A239" s="28">
        <v>2021</v>
      </c>
      <c r="B239" s="28" t="s">
        <v>540</v>
      </c>
      <c r="C239" s="28" t="s">
        <v>597</v>
      </c>
      <c r="D239" s="23">
        <v>47</v>
      </c>
      <c r="E239" s="28" t="s">
        <v>598</v>
      </c>
      <c r="F239" s="37" t="s">
        <v>174</v>
      </c>
      <c r="G239" s="37" t="s">
        <v>1127</v>
      </c>
      <c r="H239" s="28" t="s">
        <v>550</v>
      </c>
      <c r="I239" s="29">
        <v>34124</v>
      </c>
      <c r="J239" s="29">
        <v>1927</v>
      </c>
      <c r="K239" s="37">
        <v>0.90629999999999999</v>
      </c>
      <c r="L239" s="37" t="s">
        <v>19</v>
      </c>
      <c r="M239" s="29">
        <v>30912</v>
      </c>
    </row>
    <row r="240" spans="1:13">
      <c r="A240" s="28">
        <v>2024</v>
      </c>
      <c r="B240" s="28" t="s">
        <v>540</v>
      </c>
      <c r="C240" s="28" t="s">
        <v>599</v>
      </c>
      <c r="D240" s="23">
        <v>52</v>
      </c>
      <c r="E240" s="28" t="s">
        <v>600</v>
      </c>
      <c r="F240" s="37" t="s">
        <v>178</v>
      </c>
      <c r="G240" s="37" t="s">
        <v>1127</v>
      </c>
      <c r="H240" s="28" t="s">
        <v>550</v>
      </c>
      <c r="I240" s="29">
        <v>31214</v>
      </c>
      <c r="J240" s="29">
        <v>4594</v>
      </c>
      <c r="K240" s="37">
        <v>0.90400000000000003</v>
      </c>
      <c r="L240" s="37" t="s">
        <v>22</v>
      </c>
      <c r="M240" s="29">
        <v>28214</v>
      </c>
    </row>
    <row r="241" spans="1:13">
      <c r="A241" s="24">
        <v>1964</v>
      </c>
      <c r="B241" s="24" t="s">
        <v>601</v>
      </c>
      <c r="C241" s="24" t="s">
        <v>602</v>
      </c>
      <c r="D241" s="24">
        <v>15</v>
      </c>
      <c r="E241" s="24" t="s">
        <v>603</v>
      </c>
      <c r="F241" s="37" t="s">
        <v>174</v>
      </c>
      <c r="G241" s="37" t="s">
        <v>1129</v>
      </c>
      <c r="H241" s="24" t="s">
        <v>102</v>
      </c>
      <c r="I241" s="22">
        <v>21340</v>
      </c>
      <c r="J241" s="22">
        <v>5120</v>
      </c>
      <c r="K241" s="37">
        <v>0.66500000000000004</v>
      </c>
      <c r="L241" s="37" t="s">
        <v>19</v>
      </c>
      <c r="M241" s="22">
        <v>14200</v>
      </c>
    </row>
    <row r="242" spans="1:13">
      <c r="A242" s="24">
        <v>1970</v>
      </c>
      <c r="B242" s="24" t="s">
        <v>601</v>
      </c>
      <c r="C242" s="24" t="s">
        <v>604</v>
      </c>
      <c r="D242" s="24">
        <v>17</v>
      </c>
      <c r="E242" s="24" t="s">
        <v>605</v>
      </c>
      <c r="F242" s="37" t="s">
        <v>174</v>
      </c>
      <c r="G242" s="37" t="s">
        <v>1129</v>
      </c>
      <c r="H242" s="24" t="s">
        <v>102</v>
      </c>
      <c r="I242" s="22">
        <v>11842</v>
      </c>
      <c r="J242" s="22">
        <v>1230</v>
      </c>
      <c r="K242" s="37">
        <v>0.54200000000000004</v>
      </c>
      <c r="L242" s="37" t="s">
        <v>19</v>
      </c>
      <c r="M242" s="22">
        <v>8940</v>
      </c>
    </row>
    <row r="243" spans="1:13">
      <c r="A243" s="24">
        <v>1999</v>
      </c>
      <c r="B243" s="24" t="s">
        <v>601</v>
      </c>
      <c r="C243" s="24" t="s">
        <v>606</v>
      </c>
      <c r="D243" s="24">
        <v>27</v>
      </c>
      <c r="E243" s="24" t="s">
        <v>607</v>
      </c>
      <c r="F243" s="37" t="s">
        <v>174</v>
      </c>
      <c r="G243" s="37" t="s">
        <v>181</v>
      </c>
      <c r="H243" s="24" t="s">
        <v>26</v>
      </c>
      <c r="I243" s="22">
        <v>24103</v>
      </c>
      <c r="J243" s="22">
        <v>2104</v>
      </c>
      <c r="K243" s="37">
        <v>0.52100000000000002</v>
      </c>
      <c r="L243" s="37" t="s">
        <v>19</v>
      </c>
      <c r="M243" s="22">
        <v>12558</v>
      </c>
    </row>
    <row r="244" spans="1:13">
      <c r="A244" s="24">
        <v>2002</v>
      </c>
      <c r="B244" s="24" t="s">
        <v>601</v>
      </c>
      <c r="C244" s="24" t="s">
        <v>608</v>
      </c>
      <c r="D244" s="24">
        <v>32</v>
      </c>
      <c r="E244" s="24" t="s">
        <v>609</v>
      </c>
      <c r="F244" s="37" t="s">
        <v>174</v>
      </c>
      <c r="G244" s="37" t="s">
        <v>1130</v>
      </c>
      <c r="H244" s="24" t="s">
        <v>26</v>
      </c>
      <c r="I244" s="22">
        <v>21980</v>
      </c>
      <c r="J244" s="22">
        <v>1452</v>
      </c>
      <c r="K244" s="37">
        <v>0.55400000000000005</v>
      </c>
      <c r="L244" s="37" t="s">
        <v>19</v>
      </c>
      <c r="M244" s="22">
        <v>12176</v>
      </c>
    </row>
    <row r="245" spans="1:13">
      <c r="A245" s="24">
        <v>2005</v>
      </c>
      <c r="B245" s="24" t="s">
        <v>601</v>
      </c>
      <c r="C245" s="24" t="s">
        <v>610</v>
      </c>
      <c r="D245" s="24">
        <v>31</v>
      </c>
      <c r="E245" s="24" t="s">
        <v>611</v>
      </c>
      <c r="F245" s="37" t="s">
        <v>174</v>
      </c>
      <c r="G245" s="37" t="s">
        <v>181</v>
      </c>
      <c r="H245" s="24" t="s">
        <v>26</v>
      </c>
      <c r="I245" s="22">
        <v>24508</v>
      </c>
      <c r="J245" s="22">
        <v>1377</v>
      </c>
      <c r="K245" s="37">
        <v>0.53600000000000003</v>
      </c>
      <c r="L245" s="37" t="s">
        <v>19</v>
      </c>
      <c r="M245" s="22">
        <v>13136</v>
      </c>
    </row>
    <row r="246" spans="1:13">
      <c r="A246" s="24">
        <v>2005</v>
      </c>
      <c r="B246" s="24" t="s">
        <v>601</v>
      </c>
      <c r="C246" s="24" t="s">
        <v>612</v>
      </c>
      <c r="D246" s="24">
        <v>12</v>
      </c>
      <c r="E246" s="24" t="s">
        <v>613</v>
      </c>
      <c r="F246" s="37" t="s">
        <v>174</v>
      </c>
      <c r="G246" s="37" t="s">
        <v>181</v>
      </c>
      <c r="H246" s="24" t="s">
        <v>26</v>
      </c>
      <c r="I246" s="22">
        <v>22104</v>
      </c>
      <c r="J246" s="22">
        <v>1842</v>
      </c>
      <c r="K246" s="37">
        <v>0.58199999999999996</v>
      </c>
      <c r="L246" s="37" t="s">
        <v>19</v>
      </c>
      <c r="M246" s="22">
        <v>12864</v>
      </c>
    </row>
    <row r="247" spans="1:13">
      <c r="A247" s="24">
        <v>2005</v>
      </c>
      <c r="B247" s="24" t="s">
        <v>601</v>
      </c>
      <c r="C247" s="24" t="s">
        <v>614</v>
      </c>
      <c r="D247" s="24">
        <v>37</v>
      </c>
      <c r="E247" s="24" t="s">
        <v>615</v>
      </c>
      <c r="F247" s="37" t="s">
        <v>174</v>
      </c>
      <c r="G247" s="37" t="s">
        <v>1129</v>
      </c>
      <c r="H247" s="24" t="s">
        <v>102</v>
      </c>
      <c r="I247" s="22">
        <v>23145</v>
      </c>
      <c r="J247" s="22">
        <v>1120</v>
      </c>
      <c r="K247" s="37">
        <v>0.498</v>
      </c>
      <c r="L247" s="37" t="s">
        <v>19</v>
      </c>
      <c r="M247" s="22">
        <v>11526</v>
      </c>
    </row>
    <row r="248" spans="1:13">
      <c r="A248" s="24">
        <v>2010</v>
      </c>
      <c r="B248" s="24" t="s">
        <v>601</v>
      </c>
      <c r="C248" s="24" t="s">
        <v>616</v>
      </c>
      <c r="D248" s="24">
        <v>19</v>
      </c>
      <c r="E248" s="24" t="s">
        <v>617</v>
      </c>
      <c r="F248" s="37" t="s">
        <v>174</v>
      </c>
      <c r="G248" s="37" t="s">
        <v>181</v>
      </c>
      <c r="H248" s="24" t="s">
        <v>26</v>
      </c>
      <c r="I248" s="22">
        <v>23450</v>
      </c>
      <c r="J248" s="22">
        <v>8124</v>
      </c>
      <c r="K248" s="37">
        <v>0.72399999999999998</v>
      </c>
      <c r="L248" s="37" t="s">
        <v>19</v>
      </c>
      <c r="M248" s="22">
        <v>16977</v>
      </c>
    </row>
    <row r="249" spans="1:13">
      <c r="A249" s="24">
        <v>2012</v>
      </c>
      <c r="B249" s="24" t="s">
        <v>601</v>
      </c>
      <c r="C249" s="24" t="s">
        <v>606</v>
      </c>
      <c r="D249" s="24">
        <v>26</v>
      </c>
      <c r="E249" s="24" t="s">
        <v>618</v>
      </c>
      <c r="F249" s="37" t="s">
        <v>178</v>
      </c>
      <c r="G249" s="37" t="s">
        <v>502</v>
      </c>
      <c r="H249" s="24" t="s">
        <v>39</v>
      </c>
      <c r="I249" s="22">
        <v>26132</v>
      </c>
      <c r="J249" s="24">
        <v>9521</v>
      </c>
      <c r="K249" s="37">
        <v>1</v>
      </c>
      <c r="L249" s="37" t="s">
        <v>19</v>
      </c>
      <c r="M249" s="24">
        <v>19500</v>
      </c>
    </row>
    <row r="250" spans="1:13">
      <c r="A250" s="24">
        <v>2017</v>
      </c>
      <c r="B250" s="24" t="s">
        <v>601</v>
      </c>
      <c r="C250" s="24" t="s">
        <v>619</v>
      </c>
      <c r="D250" s="24">
        <v>11</v>
      </c>
      <c r="E250" s="24" t="s">
        <v>620</v>
      </c>
      <c r="F250" s="37" t="s">
        <v>174</v>
      </c>
      <c r="G250" s="37" t="s">
        <v>502</v>
      </c>
      <c r="H250" s="24" t="s">
        <v>39</v>
      </c>
      <c r="I250" s="22">
        <v>22203</v>
      </c>
      <c r="J250" s="22">
        <v>4803</v>
      </c>
      <c r="K250" s="37">
        <v>0.64700000000000002</v>
      </c>
      <c r="L250" s="37" t="s">
        <v>19</v>
      </c>
      <c r="M250" s="22">
        <v>15237</v>
      </c>
    </row>
    <row r="251" spans="1:13">
      <c r="A251" s="24">
        <v>2017</v>
      </c>
      <c r="B251" s="24" t="s">
        <v>601</v>
      </c>
      <c r="C251" s="24" t="s">
        <v>616</v>
      </c>
      <c r="D251" s="24">
        <v>19</v>
      </c>
      <c r="E251" s="24" t="s">
        <v>617</v>
      </c>
      <c r="F251" s="37" t="s">
        <v>174</v>
      </c>
      <c r="G251" s="37" t="s">
        <v>502</v>
      </c>
      <c r="H251" s="24" t="s">
        <v>39</v>
      </c>
      <c r="I251" s="22">
        <v>28817</v>
      </c>
      <c r="J251" s="22">
        <v>10066</v>
      </c>
      <c r="K251" s="37">
        <v>0.70199999999999996</v>
      </c>
      <c r="L251" s="37" t="s">
        <v>19</v>
      </c>
      <c r="M251" s="22">
        <v>21345</v>
      </c>
    </row>
    <row r="252" spans="1:13">
      <c r="A252" s="24">
        <v>2019</v>
      </c>
      <c r="B252" s="24" t="s">
        <v>601</v>
      </c>
      <c r="C252" s="24" t="s">
        <v>621</v>
      </c>
      <c r="D252" s="24">
        <v>1</v>
      </c>
      <c r="E252" s="24" t="s">
        <v>622</v>
      </c>
      <c r="F252" s="37" t="s">
        <v>174</v>
      </c>
      <c r="G252" s="37" t="s">
        <v>502</v>
      </c>
      <c r="H252" s="24" t="s">
        <v>39</v>
      </c>
      <c r="I252" s="22">
        <v>32456</v>
      </c>
      <c r="J252" s="22">
        <v>4124</v>
      </c>
      <c r="K252" s="37">
        <v>0.56399999999999995</v>
      </c>
      <c r="L252" s="37" t="s">
        <v>19</v>
      </c>
      <c r="M252" s="22">
        <v>27203</v>
      </c>
    </row>
    <row r="253" spans="1:13">
      <c r="A253" s="24">
        <v>2019</v>
      </c>
      <c r="B253" s="24" t="s">
        <v>601</v>
      </c>
      <c r="C253" s="24" t="s">
        <v>623</v>
      </c>
      <c r="D253" s="24">
        <v>5</v>
      </c>
      <c r="E253" s="24" t="s">
        <v>624</v>
      </c>
      <c r="F253" s="37" t="s">
        <v>174</v>
      </c>
      <c r="G253" s="37" t="s">
        <v>502</v>
      </c>
      <c r="H253" s="24" t="s">
        <v>39</v>
      </c>
      <c r="I253" s="22">
        <v>29145</v>
      </c>
      <c r="J253" s="22">
        <v>1151</v>
      </c>
      <c r="K253" s="37">
        <v>0.48899999999999999</v>
      </c>
      <c r="L253" s="37" t="s">
        <v>19</v>
      </c>
      <c r="M253" s="22">
        <v>22104</v>
      </c>
    </row>
    <row r="254" spans="1:13">
      <c r="A254" s="24">
        <v>2019</v>
      </c>
      <c r="B254" s="24" t="s">
        <v>601</v>
      </c>
      <c r="C254" s="24" t="s">
        <v>625</v>
      </c>
      <c r="D254" s="24">
        <v>22</v>
      </c>
      <c r="E254" s="24" t="s">
        <v>626</v>
      </c>
      <c r="F254" s="37" t="s">
        <v>174</v>
      </c>
      <c r="G254" s="37" t="s">
        <v>502</v>
      </c>
      <c r="H254" s="24" t="s">
        <v>39</v>
      </c>
      <c r="I254" s="22">
        <v>28942</v>
      </c>
      <c r="J254" s="24">
        <v>76</v>
      </c>
      <c r="K254" s="37">
        <v>0.43099999999999999</v>
      </c>
      <c r="L254" s="37" t="s">
        <v>19</v>
      </c>
      <c r="M254" s="22">
        <v>24103</v>
      </c>
    </row>
    <row r="255" spans="1:13">
      <c r="A255" s="24">
        <v>2019</v>
      </c>
      <c r="B255" s="24" t="s">
        <v>601</v>
      </c>
      <c r="C255" s="24" t="s">
        <v>619</v>
      </c>
      <c r="D255" s="24">
        <v>11</v>
      </c>
      <c r="E255" s="24" t="s">
        <v>613</v>
      </c>
      <c r="F255" s="37" t="s">
        <v>174</v>
      </c>
      <c r="G255" s="37" t="s">
        <v>181</v>
      </c>
      <c r="H255" s="24" t="s">
        <v>26</v>
      </c>
      <c r="I255" s="22">
        <v>22408</v>
      </c>
      <c r="J255" s="22">
        <v>1758</v>
      </c>
      <c r="K255" s="37">
        <v>0.51200000000000001</v>
      </c>
      <c r="L255" s="37" t="s">
        <v>19</v>
      </c>
      <c r="M255" s="22">
        <v>17246</v>
      </c>
    </row>
    <row r="256" spans="1:13">
      <c r="A256" s="28">
        <v>1997</v>
      </c>
      <c r="B256" s="28" t="s">
        <v>698</v>
      </c>
      <c r="C256" s="28" t="s">
        <v>627</v>
      </c>
      <c r="D256" s="28">
        <v>53</v>
      </c>
      <c r="E256" s="28" t="s">
        <v>628</v>
      </c>
      <c r="F256" s="37" t="s">
        <v>174</v>
      </c>
      <c r="G256" s="37" t="s">
        <v>1131</v>
      </c>
      <c r="H256" s="28" t="s">
        <v>630</v>
      </c>
      <c r="I256" s="28">
        <v>47956</v>
      </c>
      <c r="J256" s="28">
        <f>23564-7789</f>
        <v>15775</v>
      </c>
      <c r="K256" s="37">
        <v>50.314164513762641</v>
      </c>
      <c r="L256" s="37" t="s">
        <v>19</v>
      </c>
      <c r="M256" s="28">
        <v>31353</v>
      </c>
    </row>
    <row r="257" spans="1:13">
      <c r="A257" s="28">
        <v>1998</v>
      </c>
      <c r="B257" s="28" t="s">
        <v>698</v>
      </c>
      <c r="C257" s="28" t="s">
        <v>632</v>
      </c>
      <c r="D257" s="28">
        <v>72</v>
      </c>
      <c r="E257" s="28" t="s">
        <v>633</v>
      </c>
      <c r="F257" s="37" t="s">
        <v>174</v>
      </c>
      <c r="G257" s="37" t="s">
        <v>181</v>
      </c>
      <c r="H257" s="28" t="s">
        <v>225</v>
      </c>
      <c r="I257" s="28">
        <v>71832</v>
      </c>
      <c r="J257" s="28">
        <f>13164-6967</f>
        <v>6197</v>
      </c>
      <c r="K257" s="37">
        <v>25.707292790176716</v>
      </c>
      <c r="L257" s="37" t="s">
        <v>19</v>
      </c>
      <c r="M257" s="28">
        <v>24106</v>
      </c>
    </row>
    <row r="258" spans="1:13">
      <c r="A258" s="28">
        <v>1999</v>
      </c>
      <c r="B258" s="28" t="s">
        <v>698</v>
      </c>
      <c r="C258" s="28" t="s">
        <v>634</v>
      </c>
      <c r="D258" s="28">
        <v>5</v>
      </c>
      <c r="E258" s="28" t="s">
        <v>635</v>
      </c>
      <c r="F258" s="37" t="s">
        <v>174</v>
      </c>
      <c r="G258" s="37" t="s">
        <v>409</v>
      </c>
      <c r="H258" s="28" t="s">
        <v>636</v>
      </c>
      <c r="I258" s="28">
        <v>42426</v>
      </c>
      <c r="J258" s="28">
        <f>4537-4465</f>
        <v>72</v>
      </c>
      <c r="K258" s="37">
        <v>0.4178272980501393</v>
      </c>
      <c r="L258" s="37" t="s">
        <v>19</v>
      </c>
      <c r="M258" s="28">
        <v>17232</v>
      </c>
    </row>
    <row r="259" spans="1:13">
      <c r="A259" s="28">
        <v>1999</v>
      </c>
      <c r="B259" s="28" t="s">
        <v>698</v>
      </c>
      <c r="C259" s="28" t="s">
        <v>637</v>
      </c>
      <c r="D259" s="28">
        <v>45</v>
      </c>
      <c r="E259" s="28" t="s">
        <v>638</v>
      </c>
      <c r="F259" s="37" t="s">
        <v>174</v>
      </c>
      <c r="G259" s="37" t="s">
        <v>409</v>
      </c>
      <c r="H259" s="28" t="s">
        <v>409</v>
      </c>
      <c r="I259" s="28">
        <v>54547</v>
      </c>
      <c r="J259" s="28">
        <f>3756-2506</f>
        <v>1250</v>
      </c>
      <c r="K259" s="37">
        <v>14.501160092807424</v>
      </c>
      <c r="L259" s="37" t="s">
        <v>19</v>
      </c>
      <c r="M259" s="28">
        <v>8620</v>
      </c>
    </row>
    <row r="260" spans="1:13">
      <c r="A260" s="28">
        <v>2003</v>
      </c>
      <c r="B260" s="28" t="s">
        <v>698</v>
      </c>
      <c r="C260" s="28" t="s">
        <v>639</v>
      </c>
      <c r="D260" s="28">
        <v>32</v>
      </c>
      <c r="E260" s="28" t="s">
        <v>640</v>
      </c>
      <c r="F260" s="37" t="s">
        <v>174</v>
      </c>
      <c r="G260" s="37" t="s">
        <v>1132</v>
      </c>
      <c r="H260" s="28" t="s">
        <v>642</v>
      </c>
      <c r="I260" s="28">
        <v>51688</v>
      </c>
      <c r="J260" s="28">
        <f>14317-1535</f>
        <v>12782</v>
      </c>
      <c r="K260" s="37">
        <v>65.778097982708942</v>
      </c>
      <c r="L260" s="37" t="s">
        <v>19</v>
      </c>
      <c r="M260" s="28">
        <v>19432</v>
      </c>
    </row>
    <row r="261" spans="1:13">
      <c r="A261" s="28">
        <v>2004</v>
      </c>
      <c r="B261" s="28" t="s">
        <v>698</v>
      </c>
      <c r="C261" s="28" t="s">
        <v>643</v>
      </c>
      <c r="D261" s="28">
        <v>25</v>
      </c>
      <c r="E261" s="28" t="s">
        <v>644</v>
      </c>
      <c r="F261" s="37" t="s">
        <v>174</v>
      </c>
      <c r="G261" s="37" t="s">
        <v>1132</v>
      </c>
      <c r="H261" s="28" t="s">
        <v>642</v>
      </c>
      <c r="I261" s="28">
        <v>106131</v>
      </c>
      <c r="J261" s="28">
        <f>6856-3588</f>
        <v>3268</v>
      </c>
      <c r="K261" s="37">
        <v>26.26376275817729</v>
      </c>
      <c r="L261" s="37" t="s">
        <v>19</v>
      </c>
      <c r="M261" s="28">
        <v>12443</v>
      </c>
    </row>
    <row r="262" spans="1:13">
      <c r="A262" s="28">
        <v>2004</v>
      </c>
      <c r="B262" s="28" t="s">
        <v>698</v>
      </c>
      <c r="C262" s="28" t="s">
        <v>645</v>
      </c>
      <c r="D262" s="28">
        <v>46</v>
      </c>
      <c r="E262" s="28" t="s">
        <v>646</v>
      </c>
      <c r="F262" s="37" t="s">
        <v>174</v>
      </c>
      <c r="G262" s="37" t="s">
        <v>1132</v>
      </c>
      <c r="H262" s="28" t="s">
        <v>642</v>
      </c>
      <c r="I262" s="28">
        <v>64121</v>
      </c>
      <c r="J262" s="28">
        <f>9056-3882</f>
        <v>5174</v>
      </c>
      <c r="K262" s="37">
        <v>37.290090090090089</v>
      </c>
      <c r="L262" s="37" t="s">
        <v>19</v>
      </c>
      <c r="M262" s="28">
        <v>13875</v>
      </c>
    </row>
    <row r="263" spans="1:13">
      <c r="A263" s="28">
        <v>2004</v>
      </c>
      <c r="B263" s="28" t="s">
        <v>698</v>
      </c>
      <c r="C263" s="28" t="s">
        <v>647</v>
      </c>
      <c r="D263" s="28">
        <v>64</v>
      </c>
      <c r="E263" s="28" t="s">
        <v>648</v>
      </c>
      <c r="F263" s="37" t="s">
        <v>174</v>
      </c>
      <c r="G263" s="37" t="s">
        <v>181</v>
      </c>
      <c r="H263" s="28" t="s">
        <v>225</v>
      </c>
      <c r="I263" s="28">
        <v>71915</v>
      </c>
      <c r="J263" s="28">
        <f>18759-14980</f>
        <v>3779</v>
      </c>
      <c r="K263" s="37">
        <v>8.7930753658933849</v>
      </c>
      <c r="L263" s="37" t="s">
        <v>19</v>
      </c>
      <c r="M263" s="28">
        <v>42977</v>
      </c>
    </row>
    <row r="264" spans="1:13">
      <c r="A264" s="28">
        <v>2004</v>
      </c>
      <c r="B264" s="28" t="s">
        <v>698</v>
      </c>
      <c r="C264" s="28" t="s">
        <v>649</v>
      </c>
      <c r="D264" s="28">
        <v>79</v>
      </c>
      <c r="E264" s="28" t="s">
        <v>650</v>
      </c>
      <c r="F264" s="37" t="s">
        <v>174</v>
      </c>
      <c r="G264" s="37" t="s">
        <v>181</v>
      </c>
      <c r="H264" s="28" t="s">
        <v>225</v>
      </c>
      <c r="I264" s="28">
        <v>85878</v>
      </c>
      <c r="J264" s="28">
        <f>17251-13675</f>
        <v>3576</v>
      </c>
      <c r="K264" s="37">
        <v>6.4663122491049148</v>
      </c>
      <c r="L264" s="37" t="s">
        <v>19</v>
      </c>
      <c r="M264" s="28">
        <v>55302</v>
      </c>
    </row>
    <row r="265" spans="1:13">
      <c r="A265" s="28">
        <v>2007</v>
      </c>
      <c r="B265" s="28" t="s">
        <v>698</v>
      </c>
      <c r="C265" s="28" t="s">
        <v>651</v>
      </c>
      <c r="D265" s="28">
        <v>87</v>
      </c>
      <c r="E265" s="28" t="s">
        <v>652</v>
      </c>
      <c r="F265" s="37" t="s">
        <v>174</v>
      </c>
      <c r="G265" s="37" t="s">
        <v>181</v>
      </c>
      <c r="H265" s="28" t="s">
        <v>225</v>
      </c>
      <c r="I265" s="28">
        <v>97024</v>
      </c>
      <c r="J265" s="28">
        <f>20697-16299</f>
        <v>4398</v>
      </c>
      <c r="K265" s="37">
        <v>6.6167178191009199</v>
      </c>
      <c r="L265" s="37" t="s">
        <v>19</v>
      </c>
      <c r="M265" s="28">
        <v>66468</v>
      </c>
    </row>
    <row r="266" spans="1:13">
      <c r="A266" s="28">
        <v>2009</v>
      </c>
      <c r="B266" s="28" t="s">
        <v>698</v>
      </c>
      <c r="C266" s="28" t="s">
        <v>653</v>
      </c>
      <c r="D266" s="28">
        <v>24</v>
      </c>
      <c r="E266" s="28" t="s">
        <v>654</v>
      </c>
      <c r="F266" s="37" t="s">
        <v>174</v>
      </c>
      <c r="G266" s="37" t="s">
        <v>1131</v>
      </c>
      <c r="H266" s="28" t="s">
        <v>630</v>
      </c>
      <c r="I266" s="28">
        <v>69235</v>
      </c>
      <c r="J266" s="28">
        <f>9306-9256</f>
        <v>50</v>
      </c>
      <c r="K266" s="37">
        <v>0.25410377598211109</v>
      </c>
      <c r="L266" s="37" t="s">
        <v>19</v>
      </c>
      <c r="M266" s="28">
        <v>19677</v>
      </c>
    </row>
    <row r="267" spans="1:13">
      <c r="A267" s="28">
        <v>2009</v>
      </c>
      <c r="B267" s="28" t="s">
        <v>698</v>
      </c>
      <c r="C267" s="28" t="s">
        <v>655</v>
      </c>
      <c r="D267" s="28">
        <v>18</v>
      </c>
      <c r="E267" s="28" t="s">
        <v>656</v>
      </c>
      <c r="F267" s="37" t="s">
        <v>174</v>
      </c>
      <c r="G267" s="37" t="s">
        <v>1131</v>
      </c>
      <c r="H267" s="28" t="s">
        <v>630</v>
      </c>
      <c r="I267" s="28">
        <v>87326</v>
      </c>
      <c r="J267" s="28">
        <f>8555-7003</f>
        <v>1552</v>
      </c>
      <c r="K267" s="37">
        <v>8.9339166474787017</v>
      </c>
      <c r="L267" s="37" t="s">
        <v>19</v>
      </c>
      <c r="M267" s="28">
        <v>17372</v>
      </c>
    </row>
    <row r="268" spans="1:13">
      <c r="A268" s="28">
        <v>2009</v>
      </c>
      <c r="B268" s="28" t="s">
        <v>698</v>
      </c>
      <c r="C268" s="28" t="s">
        <v>657</v>
      </c>
      <c r="D268" s="28">
        <v>54</v>
      </c>
      <c r="E268" s="28" t="s">
        <v>658</v>
      </c>
      <c r="F268" s="37" t="s">
        <v>174</v>
      </c>
      <c r="G268" s="37" t="s">
        <v>181</v>
      </c>
      <c r="H268" s="28" t="s">
        <v>225</v>
      </c>
      <c r="I268" s="28">
        <v>94208</v>
      </c>
      <c r="J268" s="28">
        <f>21966-19219</f>
        <v>2747</v>
      </c>
      <c r="K268" s="37">
        <v>5.1635338345864659</v>
      </c>
      <c r="L268" s="37" t="s">
        <v>19</v>
      </c>
      <c r="M268" s="28">
        <v>53200</v>
      </c>
    </row>
    <row r="269" spans="1:13">
      <c r="A269" s="28">
        <v>2016</v>
      </c>
      <c r="B269" s="28" t="s">
        <v>698</v>
      </c>
      <c r="C269" s="28" t="s">
        <v>659</v>
      </c>
      <c r="D269" s="28">
        <v>40</v>
      </c>
      <c r="E269" s="28" t="s">
        <v>660</v>
      </c>
      <c r="F269" s="37" t="s">
        <v>178</v>
      </c>
      <c r="G269" s="37" t="s">
        <v>1133</v>
      </c>
      <c r="H269" s="28" t="s">
        <v>661</v>
      </c>
      <c r="I269" s="28">
        <v>84124</v>
      </c>
      <c r="J269" s="28">
        <f>17701-5616</f>
        <v>12085</v>
      </c>
      <c r="K269" s="37">
        <v>43.017833624034459</v>
      </c>
      <c r="L269" s="37" t="s">
        <v>19</v>
      </c>
      <c r="M269" s="28">
        <v>28093</v>
      </c>
    </row>
    <row r="270" spans="1:13">
      <c r="A270" s="28">
        <v>2025</v>
      </c>
      <c r="B270" s="28" t="s">
        <v>698</v>
      </c>
      <c r="C270" s="28" t="s">
        <v>662</v>
      </c>
      <c r="D270" s="28">
        <v>77</v>
      </c>
      <c r="E270" s="28" t="s">
        <v>663</v>
      </c>
      <c r="F270" s="37" t="s">
        <v>178</v>
      </c>
      <c r="G270" s="37" t="s">
        <v>502</v>
      </c>
      <c r="H270" s="28" t="s">
        <v>235</v>
      </c>
      <c r="I270" s="28">
        <v>99494</v>
      </c>
      <c r="J270" s="28">
        <f>42183-17661</f>
        <v>24522</v>
      </c>
      <c r="K270" s="37">
        <v>33.370529639105115</v>
      </c>
      <c r="L270" s="37" t="s">
        <v>19</v>
      </c>
      <c r="M270" s="28">
        <v>73484</v>
      </c>
    </row>
    <row r="271" spans="1:13">
      <c r="A271" s="28">
        <v>2025</v>
      </c>
      <c r="B271" s="28" t="s">
        <v>698</v>
      </c>
      <c r="C271" s="28" t="s">
        <v>664</v>
      </c>
      <c r="D271" s="28">
        <v>27</v>
      </c>
      <c r="E271" s="28" t="s">
        <v>665</v>
      </c>
      <c r="F271" s="37" t="s">
        <v>174</v>
      </c>
      <c r="G271" s="37" t="s">
        <v>1132</v>
      </c>
      <c r="H271" s="28" t="s">
        <v>642</v>
      </c>
      <c r="I271" s="28">
        <v>126276</v>
      </c>
      <c r="J271" s="28">
        <f>21565-17089</f>
        <v>4476</v>
      </c>
      <c r="K271" s="37">
        <v>7.1553033330669011</v>
      </c>
      <c r="L271" s="37" t="s">
        <v>19</v>
      </c>
      <c r="M271" s="28">
        <v>62555</v>
      </c>
    </row>
    <row r="272" spans="1:13">
      <c r="A272" s="31">
        <v>2005</v>
      </c>
      <c r="B272" s="31" t="s">
        <v>699</v>
      </c>
      <c r="C272" s="31" t="s">
        <v>700</v>
      </c>
      <c r="D272" s="31">
        <v>76</v>
      </c>
      <c r="E272" s="31" t="s">
        <v>701</v>
      </c>
      <c r="F272" s="37" t="s">
        <v>174</v>
      </c>
      <c r="G272" s="37" t="s">
        <v>409</v>
      </c>
      <c r="H272" s="31" t="s">
        <v>533</v>
      </c>
      <c r="I272" s="31">
        <v>253690</v>
      </c>
      <c r="J272" s="31">
        <v>9595</v>
      </c>
      <c r="K272" s="37">
        <v>0.54</v>
      </c>
      <c r="L272" s="37" t="s">
        <v>19</v>
      </c>
      <c r="M272" s="31">
        <v>137077</v>
      </c>
    </row>
    <row r="273" spans="1:13">
      <c r="A273" s="31">
        <v>2005</v>
      </c>
      <c r="B273" s="31" t="s">
        <v>699</v>
      </c>
      <c r="C273" s="31" t="s">
        <v>702</v>
      </c>
      <c r="D273" s="31">
        <v>26</v>
      </c>
      <c r="E273" s="31" t="s">
        <v>703</v>
      </c>
      <c r="F273" s="37" t="s">
        <v>174</v>
      </c>
      <c r="G273" s="37" t="s">
        <v>1126</v>
      </c>
      <c r="H273" s="31" t="s">
        <v>704</v>
      </c>
      <c r="I273" s="31">
        <v>243085</v>
      </c>
      <c r="J273" s="31">
        <v>8168</v>
      </c>
      <c r="K273" s="37">
        <v>0.48</v>
      </c>
      <c r="L273" s="37" t="s">
        <v>107</v>
      </c>
      <c r="M273" s="31">
        <v>116689</v>
      </c>
    </row>
    <row r="274" spans="1:13">
      <c r="A274" s="31">
        <v>2009</v>
      </c>
      <c r="B274" s="31" t="s">
        <v>699</v>
      </c>
      <c r="C274" s="31" t="s">
        <v>705</v>
      </c>
      <c r="D274" s="31">
        <v>64</v>
      </c>
      <c r="E274" s="31" t="s">
        <v>706</v>
      </c>
      <c r="F274" s="37" t="s">
        <v>174</v>
      </c>
      <c r="G274" s="37" t="s">
        <v>1134</v>
      </c>
      <c r="H274" s="31" t="s">
        <v>707</v>
      </c>
      <c r="I274" s="31">
        <v>402578</v>
      </c>
      <c r="J274" s="31">
        <v>10681</v>
      </c>
      <c r="K274" s="37">
        <v>0.379</v>
      </c>
      <c r="L274" s="37" t="s">
        <v>19</v>
      </c>
      <c r="M274" s="31">
        <v>152590</v>
      </c>
    </row>
    <row r="275" spans="1:13">
      <c r="A275" s="31">
        <v>2009</v>
      </c>
      <c r="B275" s="31" t="s">
        <v>699</v>
      </c>
      <c r="C275" s="31" t="s">
        <v>708</v>
      </c>
      <c r="D275" s="31">
        <v>57</v>
      </c>
      <c r="E275" s="31" t="s">
        <v>709</v>
      </c>
      <c r="F275" s="37" t="s">
        <v>174</v>
      </c>
      <c r="G275" s="37" t="s">
        <v>502</v>
      </c>
      <c r="H275" s="31" t="s">
        <v>710</v>
      </c>
      <c r="I275" s="31">
        <v>154880</v>
      </c>
      <c r="J275" s="31">
        <v>7817</v>
      </c>
      <c r="K275" s="37">
        <v>0.72099999999999997</v>
      </c>
      <c r="L275" s="37" t="s">
        <v>22</v>
      </c>
      <c r="M275" s="31">
        <v>111671</v>
      </c>
    </row>
    <row r="276" spans="1:13">
      <c r="A276" s="31">
        <v>2009</v>
      </c>
      <c r="B276" s="31" t="s">
        <v>699</v>
      </c>
      <c r="C276" s="31" t="s">
        <v>711</v>
      </c>
      <c r="D276" s="31">
        <v>24</v>
      </c>
      <c r="E276" s="31" t="s">
        <v>712</v>
      </c>
      <c r="F276" s="37" t="s">
        <v>174</v>
      </c>
      <c r="G276" s="37" t="s">
        <v>1135</v>
      </c>
      <c r="H276" s="31" t="s">
        <v>713</v>
      </c>
      <c r="I276" s="31">
        <v>298577</v>
      </c>
      <c r="J276" s="31">
        <v>11725</v>
      </c>
      <c r="K276" s="37">
        <v>0.56100000000000005</v>
      </c>
      <c r="L276" s="37" t="s">
        <v>19</v>
      </c>
      <c r="M276" s="31">
        <v>167504</v>
      </c>
    </row>
    <row r="277" spans="1:13">
      <c r="A277" s="31">
        <v>2004</v>
      </c>
      <c r="B277" s="31" t="s">
        <v>714</v>
      </c>
      <c r="C277" s="31" t="s">
        <v>715</v>
      </c>
      <c r="D277" s="31">
        <v>34</v>
      </c>
      <c r="E277" s="31" t="s">
        <v>716</v>
      </c>
      <c r="F277" s="37" t="s">
        <v>174</v>
      </c>
      <c r="G277" s="37" t="s">
        <v>502</v>
      </c>
      <c r="H277" s="31" t="s">
        <v>710</v>
      </c>
      <c r="I277" s="31">
        <v>166485</v>
      </c>
      <c r="J277" s="31">
        <v>6844</v>
      </c>
      <c r="K277" s="37">
        <v>0.58699999999999997</v>
      </c>
      <c r="L277" s="37" t="s">
        <v>19</v>
      </c>
      <c r="M277" s="31">
        <v>97765</v>
      </c>
    </row>
    <row r="278" spans="1:13">
      <c r="A278" s="31">
        <v>2004</v>
      </c>
      <c r="B278" s="31" t="s">
        <v>714</v>
      </c>
      <c r="C278" s="31" t="s">
        <v>717</v>
      </c>
      <c r="D278" s="31">
        <v>85</v>
      </c>
      <c r="E278" s="31" t="s">
        <v>718</v>
      </c>
      <c r="F278" s="37" t="s">
        <v>174</v>
      </c>
      <c r="G278" s="37" t="s">
        <v>502</v>
      </c>
      <c r="H278" s="31" t="s">
        <v>710</v>
      </c>
      <c r="I278" s="31">
        <v>112636</v>
      </c>
      <c r="J278" s="31">
        <v>5610</v>
      </c>
      <c r="K278" s="37">
        <v>0.71199999999999997</v>
      </c>
      <c r="L278" s="37" t="s">
        <v>19</v>
      </c>
      <c r="M278" s="31">
        <v>80148</v>
      </c>
    </row>
    <row r="279" spans="1:13">
      <c r="A279" s="31">
        <v>2004</v>
      </c>
      <c r="B279" s="31" t="s">
        <v>714</v>
      </c>
      <c r="C279" s="31" t="s">
        <v>719</v>
      </c>
      <c r="D279" s="31">
        <v>63</v>
      </c>
      <c r="E279" s="31" t="s">
        <v>720</v>
      </c>
      <c r="F279" s="37" t="s">
        <v>174</v>
      </c>
      <c r="G279" s="37" t="s">
        <v>502</v>
      </c>
      <c r="H279" s="31" t="s">
        <v>710</v>
      </c>
      <c r="I279" s="31">
        <v>146841</v>
      </c>
      <c r="J279" s="31">
        <v>7641</v>
      </c>
      <c r="K279" s="37">
        <v>0.74299999999999999</v>
      </c>
      <c r="L279" s="37" t="s">
        <v>22</v>
      </c>
      <c r="M279" s="31">
        <v>109160</v>
      </c>
    </row>
    <row r="280" spans="1:13">
      <c r="A280" s="31">
        <v>2004</v>
      </c>
      <c r="B280" s="31" t="s">
        <v>714</v>
      </c>
      <c r="C280" s="31" t="s">
        <v>721</v>
      </c>
      <c r="D280" s="31">
        <v>88</v>
      </c>
      <c r="E280" s="31" t="s">
        <v>722</v>
      </c>
      <c r="F280" s="37" t="s">
        <v>174</v>
      </c>
      <c r="G280" s="37" t="s">
        <v>502</v>
      </c>
      <c r="H280" s="31" t="s">
        <v>710</v>
      </c>
      <c r="I280" s="31">
        <v>147608</v>
      </c>
      <c r="J280" s="31">
        <v>7769</v>
      </c>
      <c r="K280" s="37">
        <v>0.752</v>
      </c>
      <c r="L280" s="37" t="s">
        <v>19</v>
      </c>
      <c r="M280" s="31">
        <v>110995</v>
      </c>
    </row>
    <row r="281" spans="1:13">
      <c r="A281" s="31">
        <v>2004</v>
      </c>
      <c r="B281" s="31" t="s">
        <v>714</v>
      </c>
      <c r="C281" s="31" t="s">
        <v>723</v>
      </c>
      <c r="D281" s="31">
        <v>25</v>
      </c>
      <c r="E281" s="31" t="s">
        <v>724</v>
      </c>
      <c r="F281" s="37" t="s">
        <v>178</v>
      </c>
      <c r="G281" s="37" t="s">
        <v>181</v>
      </c>
      <c r="H281" s="31" t="s">
        <v>710</v>
      </c>
      <c r="I281" s="31">
        <v>146323</v>
      </c>
      <c r="J281" s="31">
        <v>8001</v>
      </c>
      <c r="K281" s="37">
        <v>0.78100000000000003</v>
      </c>
      <c r="L281" s="37" t="s">
        <v>19</v>
      </c>
      <c r="M281" s="31">
        <v>114308</v>
      </c>
    </row>
    <row r="282" spans="1:13">
      <c r="A282" s="31">
        <v>2004</v>
      </c>
      <c r="B282" s="31" t="s">
        <v>714</v>
      </c>
      <c r="C282" s="31" t="s">
        <v>725</v>
      </c>
      <c r="D282" s="31">
        <v>38</v>
      </c>
      <c r="E282" s="31" t="s">
        <v>726</v>
      </c>
      <c r="F282" s="37" t="s">
        <v>174</v>
      </c>
      <c r="G282" s="37" t="s">
        <v>502</v>
      </c>
      <c r="H282" s="31" t="s">
        <v>710</v>
      </c>
      <c r="I282" s="31">
        <v>172862</v>
      </c>
      <c r="J282" s="31">
        <v>7083</v>
      </c>
      <c r="K282" s="37">
        <v>0.58499999999999996</v>
      </c>
      <c r="L282" s="37" t="s">
        <v>19</v>
      </c>
      <c r="M282" s="31">
        <v>101193</v>
      </c>
    </row>
    <row r="283" spans="1:13">
      <c r="A283" s="31">
        <v>2009</v>
      </c>
      <c r="B283" s="31" t="s">
        <v>714</v>
      </c>
      <c r="C283" s="31" t="s">
        <v>727</v>
      </c>
      <c r="D283" s="31">
        <v>59</v>
      </c>
      <c r="E283" s="31" t="s">
        <v>728</v>
      </c>
      <c r="F283" s="37" t="s">
        <v>1112</v>
      </c>
      <c r="G283" s="37" t="s">
        <v>502</v>
      </c>
      <c r="H283" s="31" t="s">
        <v>710</v>
      </c>
      <c r="I283" s="31">
        <v>169131</v>
      </c>
      <c r="J283" s="31">
        <v>9484</v>
      </c>
      <c r="K283" s="37">
        <v>0.80100000000000005</v>
      </c>
      <c r="L283" s="37" t="s">
        <v>19</v>
      </c>
      <c r="M283" s="31">
        <v>135494</v>
      </c>
    </row>
    <row r="284" spans="1:13" s="32" customFormat="1">
      <c r="A284" s="32">
        <v>1957</v>
      </c>
      <c r="B284" s="32" t="s">
        <v>729</v>
      </c>
      <c r="C284" s="32" t="s">
        <v>730</v>
      </c>
      <c r="D284" s="32">
        <v>113</v>
      </c>
      <c r="E284" s="32" t="s">
        <v>731</v>
      </c>
      <c r="F284" s="37" t="s">
        <v>174</v>
      </c>
      <c r="G284" s="37" t="s">
        <v>181</v>
      </c>
      <c r="H284" s="32" t="s">
        <v>26</v>
      </c>
      <c r="I284" s="32">
        <v>72341</v>
      </c>
      <c r="J284" s="32">
        <v>4512</v>
      </c>
      <c r="K284" s="37">
        <v>54.3</v>
      </c>
      <c r="L284" s="37" t="s">
        <v>19</v>
      </c>
      <c r="M284" s="32">
        <v>39214</v>
      </c>
    </row>
    <row r="285" spans="1:13" s="32" customFormat="1">
      <c r="A285" s="32">
        <v>1962</v>
      </c>
      <c r="B285" s="32" t="s">
        <v>729</v>
      </c>
      <c r="C285" s="32" t="s">
        <v>732</v>
      </c>
      <c r="D285" s="32">
        <v>129</v>
      </c>
      <c r="E285" s="32" t="s">
        <v>733</v>
      </c>
      <c r="F285" s="37" t="s">
        <v>174</v>
      </c>
      <c r="G285" s="37" t="s">
        <v>181</v>
      </c>
      <c r="H285" s="32" t="s">
        <v>26</v>
      </c>
      <c r="I285" s="32">
        <v>81220</v>
      </c>
      <c r="J285" s="32">
        <v>6118</v>
      </c>
      <c r="K285" s="37">
        <v>57.8</v>
      </c>
      <c r="L285" s="37" t="s">
        <v>19</v>
      </c>
      <c r="M285" s="32">
        <v>46732</v>
      </c>
    </row>
    <row r="286" spans="1:13" s="32" customFormat="1">
      <c r="A286" s="32">
        <v>1962</v>
      </c>
      <c r="B286" s="32" t="s">
        <v>729</v>
      </c>
      <c r="C286" s="32" t="s">
        <v>734</v>
      </c>
      <c r="D286" s="32">
        <v>144</v>
      </c>
      <c r="E286" s="32" t="s">
        <v>735</v>
      </c>
      <c r="F286" s="37" t="s">
        <v>174</v>
      </c>
      <c r="G286" s="37" t="s">
        <v>181</v>
      </c>
      <c r="H286" s="32" t="s">
        <v>26</v>
      </c>
      <c r="I286" s="32">
        <v>95410</v>
      </c>
      <c r="J286" s="32">
        <v>8221</v>
      </c>
      <c r="K286" s="37">
        <v>59.2</v>
      </c>
      <c r="L286" s="37" t="s">
        <v>107</v>
      </c>
      <c r="M286" s="32">
        <v>52118</v>
      </c>
    </row>
    <row r="287" spans="1:13" s="32" customFormat="1">
      <c r="A287" s="32">
        <v>1967</v>
      </c>
      <c r="B287" s="32" t="s">
        <v>729</v>
      </c>
      <c r="C287" s="32" t="s">
        <v>736</v>
      </c>
      <c r="D287" s="32">
        <v>132</v>
      </c>
      <c r="E287" s="32" t="s">
        <v>737</v>
      </c>
      <c r="F287" s="37" t="s">
        <v>174</v>
      </c>
      <c r="G287" s="37" t="s">
        <v>181</v>
      </c>
      <c r="H287" s="32" t="s">
        <v>26</v>
      </c>
      <c r="I287" s="32">
        <v>102312</v>
      </c>
      <c r="J287" s="32">
        <v>9842</v>
      </c>
      <c r="K287" s="37">
        <v>61.5</v>
      </c>
      <c r="L287" s="37" t="s">
        <v>19</v>
      </c>
      <c r="M287" s="32">
        <v>58214</v>
      </c>
    </row>
    <row r="288" spans="1:13" s="32" customFormat="1">
      <c r="A288" s="32">
        <v>1969</v>
      </c>
      <c r="B288" s="32" t="s">
        <v>729</v>
      </c>
      <c r="C288" s="32" t="s">
        <v>738</v>
      </c>
      <c r="D288" s="32">
        <v>118</v>
      </c>
      <c r="E288" s="32" t="s">
        <v>739</v>
      </c>
      <c r="F288" s="37" t="s">
        <v>174</v>
      </c>
      <c r="G288" s="37" t="s">
        <v>181</v>
      </c>
      <c r="H288" s="32" t="s">
        <v>26</v>
      </c>
      <c r="I288" s="32">
        <v>96214</v>
      </c>
      <c r="J288" s="32">
        <v>7842</v>
      </c>
      <c r="K288" s="37">
        <v>56.8</v>
      </c>
      <c r="L288" s="37" t="s">
        <v>19</v>
      </c>
      <c r="M288" s="32">
        <v>52214</v>
      </c>
    </row>
    <row r="289" spans="1:13" s="32" customFormat="1">
      <c r="A289" s="32">
        <v>1972</v>
      </c>
      <c r="B289" s="32" t="s">
        <v>729</v>
      </c>
      <c r="C289" s="32" t="s">
        <v>736</v>
      </c>
      <c r="D289" s="32">
        <v>132</v>
      </c>
      <c r="E289" s="32" t="s">
        <v>737</v>
      </c>
      <c r="F289" s="37" t="s">
        <v>174</v>
      </c>
      <c r="G289" s="37" t="s">
        <v>181</v>
      </c>
      <c r="H289" s="32" t="s">
        <v>26</v>
      </c>
      <c r="I289" s="32">
        <v>102312</v>
      </c>
      <c r="J289" s="32">
        <v>9842</v>
      </c>
      <c r="K289" s="37">
        <v>61.5</v>
      </c>
      <c r="L289" s="37" t="s">
        <v>19</v>
      </c>
      <c r="M289" s="32">
        <v>58214</v>
      </c>
    </row>
    <row r="290" spans="1:13" s="32" customFormat="1">
      <c r="A290" s="32">
        <v>1974</v>
      </c>
      <c r="B290" s="32" t="s">
        <v>740</v>
      </c>
      <c r="C290" s="32" t="s">
        <v>741</v>
      </c>
      <c r="D290" s="32">
        <v>147</v>
      </c>
      <c r="E290" s="32" t="s">
        <v>742</v>
      </c>
      <c r="F290" s="37" t="s">
        <v>178</v>
      </c>
      <c r="G290" s="37" t="s">
        <v>181</v>
      </c>
      <c r="H290" s="32" t="s">
        <v>26</v>
      </c>
      <c r="I290" s="32">
        <v>108412</v>
      </c>
      <c r="J290" s="32">
        <v>20239</v>
      </c>
      <c r="K290" s="37">
        <v>64.099999999999994</v>
      </c>
      <c r="L290" s="37" t="s">
        <v>19</v>
      </c>
      <c r="M290" s="32">
        <v>62118</v>
      </c>
    </row>
    <row r="291" spans="1:13" s="32" customFormat="1">
      <c r="A291" s="32">
        <v>1977</v>
      </c>
      <c r="B291" s="32" t="s">
        <v>740</v>
      </c>
      <c r="C291" s="32" t="s">
        <v>743</v>
      </c>
      <c r="D291" s="32">
        <v>135</v>
      </c>
      <c r="E291" s="32" t="s">
        <v>744</v>
      </c>
      <c r="F291" s="37" t="s">
        <v>174</v>
      </c>
      <c r="G291" s="37" t="s">
        <v>745</v>
      </c>
      <c r="H291" s="32" t="s">
        <v>372</v>
      </c>
      <c r="I291" s="32">
        <v>112214</v>
      </c>
      <c r="J291" s="32">
        <v>12842</v>
      </c>
      <c r="K291" s="37">
        <v>58.7</v>
      </c>
      <c r="L291" s="37" t="s">
        <v>19</v>
      </c>
      <c r="M291" s="32">
        <v>65214</v>
      </c>
    </row>
    <row r="292" spans="1:13" s="32" customFormat="1">
      <c r="A292" s="32">
        <v>1978</v>
      </c>
      <c r="B292" s="32" t="s">
        <v>740</v>
      </c>
      <c r="C292" s="32" t="s">
        <v>732</v>
      </c>
      <c r="D292" s="32">
        <v>129</v>
      </c>
      <c r="E292" s="32" t="s">
        <v>733</v>
      </c>
      <c r="F292" s="37" t="s">
        <v>174</v>
      </c>
      <c r="G292" s="37" t="s">
        <v>181</v>
      </c>
      <c r="H292" s="32" t="s">
        <v>26</v>
      </c>
      <c r="I292" s="32">
        <v>105214</v>
      </c>
      <c r="J292" s="32">
        <v>7842</v>
      </c>
      <c r="K292" s="37">
        <v>56.2</v>
      </c>
      <c r="L292" s="37" t="s">
        <v>19</v>
      </c>
      <c r="M292" s="32">
        <v>61214</v>
      </c>
    </row>
    <row r="293" spans="1:13" s="32" customFormat="1">
      <c r="A293" s="32">
        <v>1983</v>
      </c>
      <c r="B293" s="32" t="s">
        <v>740</v>
      </c>
      <c r="C293" s="32" t="s">
        <v>730</v>
      </c>
      <c r="D293" s="32">
        <v>113</v>
      </c>
      <c r="E293" s="32" t="s">
        <v>746</v>
      </c>
      <c r="F293" s="37" t="s">
        <v>174</v>
      </c>
      <c r="G293" s="37" t="s">
        <v>745</v>
      </c>
      <c r="H293" s="32" t="s">
        <v>372</v>
      </c>
      <c r="I293" s="32">
        <v>112842</v>
      </c>
      <c r="J293" s="32">
        <v>9118</v>
      </c>
      <c r="K293" s="37">
        <v>58.7</v>
      </c>
      <c r="L293" s="37" t="s">
        <v>19</v>
      </c>
      <c r="M293" s="32">
        <v>65214</v>
      </c>
    </row>
    <row r="294" spans="1:13" s="32" customFormat="1">
      <c r="A294" s="32">
        <v>1985</v>
      </c>
      <c r="B294" s="32" t="s">
        <v>740</v>
      </c>
      <c r="C294" s="32" t="s">
        <v>736</v>
      </c>
      <c r="D294" s="32">
        <v>132</v>
      </c>
      <c r="E294" s="32" t="s">
        <v>737</v>
      </c>
      <c r="F294" s="37" t="s">
        <v>174</v>
      </c>
      <c r="G294" s="37" t="s">
        <v>745</v>
      </c>
      <c r="H294" s="32" t="s">
        <v>372</v>
      </c>
      <c r="I294" s="32">
        <v>118214</v>
      </c>
      <c r="J294" s="32">
        <v>11842</v>
      </c>
      <c r="K294" s="37">
        <v>59.1</v>
      </c>
      <c r="L294" s="37" t="s">
        <v>19</v>
      </c>
      <c r="M294" s="32">
        <v>68214</v>
      </c>
    </row>
    <row r="295" spans="1:13" s="32" customFormat="1">
      <c r="A295" s="32">
        <v>1989</v>
      </c>
      <c r="B295" s="32" t="s">
        <v>740</v>
      </c>
      <c r="C295" s="32" t="s">
        <v>747</v>
      </c>
      <c r="D295" s="32">
        <v>1</v>
      </c>
      <c r="E295" s="32" t="s">
        <v>748</v>
      </c>
      <c r="F295" s="37" t="s">
        <v>174</v>
      </c>
      <c r="G295" s="37" t="s">
        <v>371</v>
      </c>
      <c r="H295" s="32" t="s">
        <v>749</v>
      </c>
      <c r="I295" s="32">
        <v>122214</v>
      </c>
      <c r="J295" s="32">
        <v>14514</v>
      </c>
      <c r="K295" s="37">
        <v>55.3</v>
      </c>
      <c r="L295" s="37" t="s">
        <v>19</v>
      </c>
      <c r="M295" s="32">
        <v>72214</v>
      </c>
    </row>
    <row r="296" spans="1:13" s="32" customFormat="1">
      <c r="A296" s="32">
        <v>1989</v>
      </c>
      <c r="B296" s="32" t="s">
        <v>740</v>
      </c>
      <c r="C296" s="32" t="s">
        <v>750</v>
      </c>
      <c r="D296" s="32">
        <v>3</v>
      </c>
      <c r="E296" s="32" t="s">
        <v>751</v>
      </c>
      <c r="F296" s="37" t="s">
        <v>174</v>
      </c>
      <c r="G296" s="37" t="s">
        <v>181</v>
      </c>
      <c r="H296" s="32" t="s">
        <v>26</v>
      </c>
      <c r="I296" s="32">
        <v>124214</v>
      </c>
      <c r="J296" s="32">
        <v>867</v>
      </c>
      <c r="K296" s="37">
        <v>51.3</v>
      </c>
      <c r="L296" s="37" t="s">
        <v>107</v>
      </c>
      <c r="M296" s="32">
        <v>73214</v>
      </c>
    </row>
    <row r="297" spans="1:13" s="32" customFormat="1">
      <c r="A297" s="32">
        <v>1989</v>
      </c>
      <c r="B297" s="32" t="s">
        <v>740</v>
      </c>
      <c r="C297" s="32" t="s">
        <v>752</v>
      </c>
      <c r="D297" s="32">
        <v>5</v>
      </c>
      <c r="E297" s="32" t="s">
        <v>753</v>
      </c>
      <c r="F297" s="37" t="s">
        <v>174</v>
      </c>
      <c r="G297" s="37" t="s">
        <v>502</v>
      </c>
      <c r="H297" s="32" t="s">
        <v>39</v>
      </c>
      <c r="I297" s="32">
        <v>126214</v>
      </c>
      <c r="J297" s="32">
        <v>1592</v>
      </c>
      <c r="K297" s="37">
        <v>52.1</v>
      </c>
      <c r="L297" s="37" t="s">
        <v>19</v>
      </c>
      <c r="M297" s="32">
        <v>74214</v>
      </c>
    </row>
    <row r="298" spans="1:13" s="32" customFormat="1">
      <c r="A298" s="32">
        <v>1992</v>
      </c>
      <c r="B298" s="32" t="s">
        <v>740</v>
      </c>
      <c r="C298" s="32" t="s">
        <v>754</v>
      </c>
      <c r="D298" s="32">
        <v>139</v>
      </c>
      <c r="E298" s="32" t="s">
        <v>755</v>
      </c>
      <c r="F298" s="37" t="s">
        <v>174</v>
      </c>
      <c r="G298" s="37" t="s">
        <v>371</v>
      </c>
      <c r="H298" s="32" t="s">
        <v>749</v>
      </c>
      <c r="I298" s="32">
        <v>128214</v>
      </c>
      <c r="J298" s="32">
        <v>8412</v>
      </c>
      <c r="K298" s="37">
        <v>57.2</v>
      </c>
      <c r="L298" s="37" t="s">
        <v>19</v>
      </c>
      <c r="M298" s="32">
        <v>72214</v>
      </c>
    </row>
    <row r="299" spans="1:13" s="32" customFormat="1">
      <c r="A299" s="32">
        <v>1994</v>
      </c>
      <c r="B299" s="32" t="s">
        <v>740</v>
      </c>
      <c r="C299" s="32" t="s">
        <v>743</v>
      </c>
      <c r="D299" s="32">
        <v>135</v>
      </c>
      <c r="E299" s="32" t="s">
        <v>756</v>
      </c>
      <c r="F299" s="37" t="s">
        <v>174</v>
      </c>
      <c r="G299" s="37" t="s">
        <v>1136</v>
      </c>
      <c r="H299" s="32" t="s">
        <v>749</v>
      </c>
      <c r="I299" s="32">
        <v>132214</v>
      </c>
      <c r="J299" s="32">
        <v>16842</v>
      </c>
      <c r="K299" s="37">
        <v>62.1</v>
      </c>
      <c r="L299" s="37" t="s">
        <v>19</v>
      </c>
      <c r="M299" s="32">
        <v>75214</v>
      </c>
    </row>
    <row r="300" spans="1:13" s="32" customFormat="1">
      <c r="A300" s="32">
        <v>1996</v>
      </c>
      <c r="B300" s="32" t="s">
        <v>740</v>
      </c>
      <c r="C300" s="32" t="s">
        <v>736</v>
      </c>
      <c r="D300" s="32">
        <v>132</v>
      </c>
      <c r="E300" s="32" t="s">
        <v>757</v>
      </c>
      <c r="F300" s="37" t="s">
        <v>174</v>
      </c>
      <c r="G300" s="37" t="s">
        <v>181</v>
      </c>
      <c r="H300" s="32" t="s">
        <v>26</v>
      </c>
      <c r="I300" s="32">
        <v>136214</v>
      </c>
      <c r="J300" s="32">
        <v>12842</v>
      </c>
      <c r="K300" s="37">
        <v>59.8</v>
      </c>
      <c r="L300" s="37" t="s">
        <v>19</v>
      </c>
      <c r="M300" s="32">
        <v>78214</v>
      </c>
    </row>
    <row r="301" spans="1:13" s="32" customFormat="1">
      <c r="A301" s="32">
        <v>1998</v>
      </c>
      <c r="B301" s="32" t="s">
        <v>740</v>
      </c>
      <c r="C301" s="32" t="s">
        <v>758</v>
      </c>
      <c r="D301" s="32">
        <v>120</v>
      </c>
      <c r="E301" s="32" t="s">
        <v>759</v>
      </c>
      <c r="F301" s="37" t="s">
        <v>174</v>
      </c>
      <c r="G301" s="37" t="s">
        <v>502</v>
      </c>
      <c r="H301" s="32" t="s">
        <v>39</v>
      </c>
      <c r="I301" s="32">
        <v>140214</v>
      </c>
      <c r="J301" s="32">
        <v>14842</v>
      </c>
      <c r="K301" s="37">
        <v>61.3</v>
      </c>
      <c r="L301" s="37" t="s">
        <v>19</v>
      </c>
      <c r="M301" s="32">
        <v>81214</v>
      </c>
    </row>
    <row r="302" spans="1:13" s="32" customFormat="1">
      <c r="A302" s="32">
        <v>1999</v>
      </c>
      <c r="B302" s="32" t="s">
        <v>740</v>
      </c>
      <c r="C302" s="32" t="s">
        <v>741</v>
      </c>
      <c r="D302" s="32">
        <v>147</v>
      </c>
      <c r="E302" s="32" t="s">
        <v>760</v>
      </c>
      <c r="F302" s="37" t="s">
        <v>174</v>
      </c>
      <c r="G302" s="37" t="s">
        <v>181</v>
      </c>
      <c r="H302" s="32" t="s">
        <v>26</v>
      </c>
      <c r="I302" s="32">
        <v>144214</v>
      </c>
      <c r="J302" s="32">
        <v>18842</v>
      </c>
      <c r="K302" s="37">
        <v>63.4</v>
      </c>
      <c r="L302" s="37" t="s">
        <v>19</v>
      </c>
      <c r="M302" s="32">
        <v>84214</v>
      </c>
    </row>
    <row r="303" spans="1:13" s="32" customFormat="1">
      <c r="A303" s="32">
        <v>2002</v>
      </c>
      <c r="B303" s="32" t="s">
        <v>740</v>
      </c>
      <c r="C303" s="32" t="s">
        <v>761</v>
      </c>
      <c r="D303" s="32">
        <v>122</v>
      </c>
      <c r="E303" s="32" t="s">
        <v>762</v>
      </c>
      <c r="F303" s="37" t="s">
        <v>174</v>
      </c>
      <c r="G303" s="37" t="s">
        <v>181</v>
      </c>
      <c r="H303" s="32" t="s">
        <v>26</v>
      </c>
      <c r="I303" s="32">
        <v>142214</v>
      </c>
      <c r="J303" s="32">
        <v>9842</v>
      </c>
      <c r="K303" s="37">
        <v>57.1</v>
      </c>
      <c r="L303" s="37" t="s">
        <v>19</v>
      </c>
      <c r="M303" s="32">
        <v>81214</v>
      </c>
    </row>
    <row r="304" spans="1:13" s="32" customFormat="1">
      <c r="A304" s="32">
        <v>2004</v>
      </c>
      <c r="B304" s="32" t="s">
        <v>740</v>
      </c>
      <c r="C304" s="32" t="s">
        <v>763</v>
      </c>
      <c r="D304" s="32">
        <v>154</v>
      </c>
      <c r="E304" s="32" t="s">
        <v>764</v>
      </c>
      <c r="F304" s="37" t="s">
        <v>174</v>
      </c>
      <c r="G304" s="37" t="s">
        <v>181</v>
      </c>
      <c r="H304" s="32" t="s">
        <v>26</v>
      </c>
      <c r="I304" s="32">
        <v>148214</v>
      </c>
      <c r="J304" s="32">
        <v>12842</v>
      </c>
      <c r="K304" s="37">
        <v>58.9</v>
      </c>
      <c r="L304" s="37" t="s">
        <v>19</v>
      </c>
      <c r="M304" s="32">
        <v>84214</v>
      </c>
    </row>
    <row r="305" spans="1:13" s="32" customFormat="1">
      <c r="A305" s="32">
        <v>2005</v>
      </c>
      <c r="B305" s="32" t="s">
        <v>740</v>
      </c>
      <c r="C305" s="32" t="s">
        <v>754</v>
      </c>
      <c r="D305" s="32">
        <v>139</v>
      </c>
      <c r="E305" s="32" t="s">
        <v>755</v>
      </c>
      <c r="F305" s="37" t="s">
        <v>174</v>
      </c>
      <c r="G305" s="37" t="s">
        <v>1136</v>
      </c>
      <c r="H305" s="32" t="s">
        <v>749</v>
      </c>
      <c r="I305" s="32">
        <v>152214</v>
      </c>
      <c r="J305" s="32">
        <v>14842</v>
      </c>
      <c r="K305" s="37">
        <v>59.4</v>
      </c>
      <c r="L305" s="37" t="s">
        <v>19</v>
      </c>
      <c r="M305" s="32">
        <v>85214</v>
      </c>
    </row>
    <row r="306" spans="1:13" s="32" customFormat="1">
      <c r="A306" s="32">
        <v>2006</v>
      </c>
      <c r="B306" s="32" t="s">
        <v>740</v>
      </c>
      <c r="C306" s="32" t="s">
        <v>765</v>
      </c>
      <c r="D306" s="32">
        <v>45</v>
      </c>
      <c r="E306" s="32" t="s">
        <v>766</v>
      </c>
      <c r="F306" s="37" t="s">
        <v>174</v>
      </c>
      <c r="G306" s="37" t="s">
        <v>181</v>
      </c>
      <c r="H306" s="32" t="s">
        <v>26</v>
      </c>
      <c r="I306" s="32">
        <v>156214</v>
      </c>
      <c r="J306" s="32">
        <v>16842</v>
      </c>
      <c r="K306" s="37">
        <v>60.2</v>
      </c>
      <c r="L306" s="37" t="s">
        <v>107</v>
      </c>
      <c r="M306" s="32">
        <v>88214</v>
      </c>
    </row>
    <row r="307" spans="1:13" s="32" customFormat="1">
      <c r="A307" s="32">
        <v>2008</v>
      </c>
      <c r="B307" s="32" t="s">
        <v>740</v>
      </c>
      <c r="C307" s="32" t="s">
        <v>767</v>
      </c>
      <c r="D307" s="32">
        <v>112</v>
      </c>
      <c r="E307" s="32" t="s">
        <v>768</v>
      </c>
      <c r="F307" s="37" t="s">
        <v>174</v>
      </c>
      <c r="G307" s="37" t="s">
        <v>502</v>
      </c>
      <c r="H307" s="32" t="s">
        <v>39</v>
      </c>
      <c r="I307" s="32">
        <v>162214</v>
      </c>
      <c r="J307" s="32">
        <v>18842</v>
      </c>
      <c r="K307" s="37">
        <v>61.3</v>
      </c>
      <c r="L307" s="37" t="s">
        <v>19</v>
      </c>
      <c r="M307" s="32">
        <v>91214</v>
      </c>
    </row>
    <row r="308" spans="1:13" s="32" customFormat="1">
      <c r="A308" s="32">
        <v>2009</v>
      </c>
      <c r="B308" s="32" t="s">
        <v>740</v>
      </c>
      <c r="C308" s="32" t="s">
        <v>732</v>
      </c>
      <c r="D308" s="32">
        <v>129</v>
      </c>
      <c r="E308" s="32" t="s">
        <v>769</v>
      </c>
      <c r="F308" s="37" t="s">
        <v>174</v>
      </c>
      <c r="G308" s="37" t="s">
        <v>502</v>
      </c>
      <c r="H308" s="32" t="s">
        <v>39</v>
      </c>
      <c r="I308" s="32">
        <v>168214</v>
      </c>
      <c r="J308" s="32">
        <v>20842</v>
      </c>
      <c r="K308" s="37">
        <v>62.7</v>
      </c>
      <c r="L308" s="37" t="s">
        <v>19</v>
      </c>
      <c r="M308" s="32">
        <v>94214</v>
      </c>
    </row>
    <row r="309" spans="1:13" s="32" customFormat="1">
      <c r="A309" s="32">
        <v>2010</v>
      </c>
      <c r="B309" s="32" t="s">
        <v>740</v>
      </c>
      <c r="C309" s="32" t="s">
        <v>732</v>
      </c>
      <c r="D309" s="32">
        <v>129</v>
      </c>
      <c r="E309" s="32" t="s">
        <v>769</v>
      </c>
      <c r="F309" s="37" t="s">
        <v>174</v>
      </c>
      <c r="G309" s="37" t="s">
        <v>502</v>
      </c>
      <c r="H309" s="32" t="s">
        <v>39</v>
      </c>
      <c r="I309" s="32">
        <v>172214</v>
      </c>
      <c r="J309" s="32">
        <v>14842</v>
      </c>
      <c r="K309" s="37">
        <v>58.9</v>
      </c>
      <c r="L309" s="37" t="s">
        <v>19</v>
      </c>
      <c r="M309" s="32">
        <v>96214</v>
      </c>
    </row>
    <row r="310" spans="1:13" s="32" customFormat="1">
      <c r="A310" s="32">
        <v>2013</v>
      </c>
      <c r="B310" s="32" t="s">
        <v>740</v>
      </c>
      <c r="C310" s="32" t="s">
        <v>763</v>
      </c>
      <c r="D310" s="32">
        <v>154</v>
      </c>
      <c r="E310" s="32" t="s">
        <v>764</v>
      </c>
      <c r="F310" s="37" t="s">
        <v>174</v>
      </c>
      <c r="G310" s="37" t="s">
        <v>181</v>
      </c>
      <c r="H310" s="32" t="s">
        <v>26</v>
      </c>
      <c r="I310" s="32">
        <v>178214</v>
      </c>
      <c r="J310" s="32">
        <v>120000</v>
      </c>
      <c r="K310" s="37">
        <v>64.2</v>
      </c>
      <c r="L310" s="37" t="s">
        <v>19</v>
      </c>
      <c r="M310" s="32">
        <v>102214</v>
      </c>
    </row>
    <row r="311" spans="1:13" s="32" customFormat="1">
      <c r="A311" s="32">
        <v>2014</v>
      </c>
      <c r="B311" s="32" t="s">
        <v>740</v>
      </c>
      <c r="C311" s="32" t="s">
        <v>770</v>
      </c>
      <c r="D311" s="32">
        <v>1</v>
      </c>
      <c r="E311" s="32" t="s">
        <v>771</v>
      </c>
      <c r="F311" s="37" t="s">
        <v>174</v>
      </c>
      <c r="G311" s="37" t="s">
        <v>181</v>
      </c>
      <c r="H311" s="32" t="s">
        <v>26</v>
      </c>
      <c r="I311" s="32">
        <v>182214</v>
      </c>
      <c r="J311" s="32">
        <v>17842</v>
      </c>
      <c r="K311" s="37">
        <v>60.1</v>
      </c>
      <c r="L311" s="37" t="s">
        <v>19</v>
      </c>
      <c r="M311" s="32">
        <v>105214</v>
      </c>
    </row>
    <row r="312" spans="1:13" s="32" customFormat="1">
      <c r="A312" s="32">
        <v>2016</v>
      </c>
      <c r="B312" s="32" t="s">
        <v>740</v>
      </c>
      <c r="C312" s="32" t="s">
        <v>752</v>
      </c>
      <c r="D312" s="32">
        <v>47</v>
      </c>
      <c r="E312" s="32" t="s">
        <v>772</v>
      </c>
      <c r="F312" s="37" t="s">
        <v>174</v>
      </c>
      <c r="G312" s="37" t="s">
        <v>181</v>
      </c>
      <c r="H312" s="32" t="s">
        <v>26</v>
      </c>
      <c r="I312" s="32">
        <v>188214</v>
      </c>
      <c r="J312" s="32">
        <v>9842</v>
      </c>
      <c r="K312" s="37">
        <v>57.8</v>
      </c>
      <c r="L312" s="37" t="s">
        <v>19</v>
      </c>
      <c r="M312" s="32">
        <v>108214</v>
      </c>
    </row>
    <row r="313" spans="1:13" s="32" customFormat="1">
      <c r="A313" s="32">
        <v>2016</v>
      </c>
      <c r="B313" s="32" t="s">
        <v>740</v>
      </c>
      <c r="C313" s="32" t="s">
        <v>773</v>
      </c>
      <c r="D313" s="32">
        <v>85</v>
      </c>
      <c r="E313" s="32" t="s">
        <v>774</v>
      </c>
      <c r="F313" s="37" t="s">
        <v>174</v>
      </c>
      <c r="G313" s="37" t="s">
        <v>502</v>
      </c>
      <c r="H313" s="32" t="s">
        <v>39</v>
      </c>
      <c r="I313" s="32">
        <v>192214</v>
      </c>
      <c r="J313" s="32">
        <v>12842</v>
      </c>
      <c r="K313" s="37">
        <v>58.3</v>
      </c>
      <c r="L313" s="37" t="s">
        <v>22</v>
      </c>
      <c r="M313" s="32">
        <v>110214</v>
      </c>
    </row>
    <row r="314" spans="1:13" s="32" customFormat="1">
      <c r="A314" s="32">
        <v>2019</v>
      </c>
      <c r="B314" s="32" t="s">
        <v>740</v>
      </c>
      <c r="C314" s="32" t="s">
        <v>775</v>
      </c>
      <c r="D314" s="32">
        <v>134</v>
      </c>
      <c r="E314" s="32" t="s">
        <v>776</v>
      </c>
      <c r="F314" s="37" t="s">
        <v>174</v>
      </c>
      <c r="G314" s="37" t="s">
        <v>409</v>
      </c>
      <c r="H314" s="32" t="s">
        <v>409</v>
      </c>
      <c r="I314" s="32">
        <v>196214</v>
      </c>
      <c r="J314" s="32">
        <v>12842</v>
      </c>
      <c r="K314" s="37">
        <v>55.9</v>
      </c>
      <c r="L314" s="37" t="s">
        <v>19</v>
      </c>
      <c r="M314" s="32">
        <v>112214</v>
      </c>
    </row>
    <row r="315" spans="1:13" s="32" customFormat="1">
      <c r="A315" s="32">
        <v>2019</v>
      </c>
      <c r="B315" s="32" t="s">
        <v>740</v>
      </c>
      <c r="C315" s="32" t="s">
        <v>777</v>
      </c>
      <c r="D315" s="32">
        <v>152</v>
      </c>
      <c r="E315" s="32" t="s">
        <v>778</v>
      </c>
      <c r="F315" s="37" t="s">
        <v>174</v>
      </c>
      <c r="G315" s="37" t="s">
        <v>502</v>
      </c>
      <c r="H315" s="32" t="s">
        <v>39</v>
      </c>
      <c r="I315" s="32">
        <v>202214</v>
      </c>
      <c r="J315" s="32">
        <v>18842</v>
      </c>
      <c r="K315" s="37">
        <v>61.2</v>
      </c>
      <c r="L315" s="37" t="s">
        <v>19</v>
      </c>
      <c r="M315" s="32">
        <v>115214</v>
      </c>
    </row>
    <row r="316" spans="1:13" s="32" customFormat="1">
      <c r="A316" s="32">
        <v>2019</v>
      </c>
      <c r="B316" s="32" t="s">
        <v>740</v>
      </c>
      <c r="C316" s="32" t="s">
        <v>779</v>
      </c>
      <c r="D316" s="32">
        <v>154</v>
      </c>
      <c r="E316" s="32" t="s">
        <v>780</v>
      </c>
      <c r="F316" s="37" t="s">
        <v>174</v>
      </c>
      <c r="G316" s="37" t="s">
        <v>502</v>
      </c>
      <c r="H316" s="32" t="s">
        <v>39</v>
      </c>
      <c r="I316" s="32">
        <v>208214</v>
      </c>
      <c r="J316" s="32">
        <v>20842</v>
      </c>
      <c r="K316" s="37">
        <v>62.4</v>
      </c>
      <c r="L316" s="37" t="s">
        <v>19</v>
      </c>
      <c r="M316" s="32">
        <v>118214</v>
      </c>
    </row>
    <row r="317" spans="1:13" s="32" customFormat="1">
      <c r="A317" s="32">
        <v>2019</v>
      </c>
      <c r="B317" s="32" t="s">
        <v>740</v>
      </c>
      <c r="C317" s="32" t="s">
        <v>781</v>
      </c>
      <c r="D317" s="32">
        <v>156</v>
      </c>
      <c r="E317" s="32" t="s">
        <v>782</v>
      </c>
      <c r="F317" s="37" t="s">
        <v>174</v>
      </c>
      <c r="G317" s="37" t="s">
        <v>502</v>
      </c>
      <c r="H317" s="32" t="s">
        <v>39</v>
      </c>
      <c r="I317" s="32">
        <v>212214</v>
      </c>
      <c r="J317" s="32">
        <v>22842</v>
      </c>
      <c r="K317" s="37">
        <v>63.1</v>
      </c>
      <c r="L317" s="37" t="s">
        <v>19</v>
      </c>
      <c r="M317" s="32">
        <v>120214</v>
      </c>
    </row>
    <row r="318" spans="1:13" s="32" customFormat="1">
      <c r="A318" s="32">
        <v>2019</v>
      </c>
      <c r="B318" s="32" t="s">
        <v>740</v>
      </c>
      <c r="C318" s="32" t="s">
        <v>783</v>
      </c>
      <c r="D318" s="32">
        <v>134</v>
      </c>
      <c r="E318" s="32" t="s">
        <v>784</v>
      </c>
      <c r="F318" s="37" t="s">
        <v>174</v>
      </c>
      <c r="G318" s="37" t="s">
        <v>502</v>
      </c>
      <c r="H318" s="32" t="s">
        <v>39</v>
      </c>
      <c r="I318" s="32">
        <v>218214</v>
      </c>
      <c r="J318" s="32">
        <v>24842</v>
      </c>
      <c r="K318" s="37">
        <v>64.5</v>
      </c>
      <c r="L318" s="37" t="s">
        <v>19</v>
      </c>
      <c r="M318" s="32">
        <v>122214</v>
      </c>
    </row>
    <row r="319" spans="1:13" s="32" customFormat="1">
      <c r="A319" s="32">
        <v>2020</v>
      </c>
      <c r="B319" s="32" t="s">
        <v>740</v>
      </c>
      <c r="C319" s="32" t="s">
        <v>758</v>
      </c>
      <c r="D319" s="32">
        <v>120</v>
      </c>
      <c r="E319" s="32" t="s">
        <v>785</v>
      </c>
      <c r="F319" s="37" t="s">
        <v>174</v>
      </c>
      <c r="G319" s="37" t="s">
        <v>181</v>
      </c>
      <c r="H319" s="32" t="s">
        <v>26</v>
      </c>
      <c r="I319" s="32">
        <v>222214</v>
      </c>
      <c r="J319" s="32">
        <v>12842</v>
      </c>
      <c r="K319" s="37">
        <v>56.1</v>
      </c>
      <c r="L319" s="37" t="s">
        <v>19</v>
      </c>
      <c r="M319" s="32">
        <v>125214</v>
      </c>
    </row>
    <row r="320" spans="1:13" s="32" customFormat="1">
      <c r="A320" s="32">
        <v>2020</v>
      </c>
      <c r="B320" s="32" t="s">
        <v>740</v>
      </c>
      <c r="C320" s="32" t="s">
        <v>786</v>
      </c>
      <c r="D320" s="32">
        <v>154</v>
      </c>
      <c r="E320" s="32" t="s">
        <v>787</v>
      </c>
      <c r="F320" s="37" t="s">
        <v>174</v>
      </c>
      <c r="G320" s="37" t="s">
        <v>502</v>
      </c>
      <c r="H320" s="32" t="s">
        <v>39</v>
      </c>
      <c r="I320" s="32">
        <v>228214</v>
      </c>
      <c r="J320" s="32">
        <v>18842</v>
      </c>
      <c r="K320" s="37">
        <v>59.4</v>
      </c>
      <c r="L320" s="37" t="s">
        <v>19</v>
      </c>
      <c r="M320" s="32">
        <v>128214</v>
      </c>
    </row>
    <row r="321" spans="1:13" s="32" customFormat="1">
      <c r="A321" s="32">
        <v>2021</v>
      </c>
      <c r="B321" s="32" t="s">
        <v>740</v>
      </c>
      <c r="C321" s="32" t="s">
        <v>788</v>
      </c>
      <c r="D321" s="32">
        <v>51</v>
      </c>
      <c r="E321" s="32" t="s">
        <v>789</v>
      </c>
      <c r="F321" s="37" t="s">
        <v>174</v>
      </c>
      <c r="G321" s="37" t="s">
        <v>502</v>
      </c>
      <c r="H321" s="32" t="s">
        <v>39</v>
      </c>
      <c r="I321" s="32">
        <v>232214</v>
      </c>
      <c r="J321" s="32">
        <v>20842</v>
      </c>
      <c r="K321" s="37">
        <v>60.2</v>
      </c>
      <c r="L321" s="37" t="s">
        <v>19</v>
      </c>
      <c r="M321" s="32">
        <v>130214</v>
      </c>
    </row>
    <row r="322" spans="1:13" s="32" customFormat="1">
      <c r="A322" s="32">
        <v>2021</v>
      </c>
      <c r="B322" s="32" t="s">
        <v>740</v>
      </c>
      <c r="C322" s="32" t="s">
        <v>790</v>
      </c>
      <c r="D322" s="32">
        <v>85</v>
      </c>
      <c r="E322" s="32" t="s">
        <v>791</v>
      </c>
      <c r="F322" s="37" t="s">
        <v>174</v>
      </c>
      <c r="G322" s="37" t="s">
        <v>181</v>
      </c>
      <c r="H322" s="32" t="s">
        <v>26</v>
      </c>
      <c r="I322" s="32">
        <v>236214</v>
      </c>
      <c r="J322" s="32">
        <v>22842</v>
      </c>
      <c r="K322" s="37">
        <v>61.7</v>
      </c>
      <c r="L322" s="37" t="s">
        <v>22</v>
      </c>
      <c r="M322" s="32">
        <v>132214</v>
      </c>
    </row>
    <row r="323" spans="1:13" s="32" customFormat="1">
      <c r="A323" s="32">
        <v>2021</v>
      </c>
      <c r="B323" s="32" t="s">
        <v>740</v>
      </c>
      <c r="C323" s="32" t="s">
        <v>792</v>
      </c>
      <c r="D323" s="32">
        <v>84</v>
      </c>
      <c r="E323" s="32" t="s">
        <v>793</v>
      </c>
      <c r="F323" s="37" t="s">
        <v>174</v>
      </c>
      <c r="G323" s="37" t="s">
        <v>181</v>
      </c>
      <c r="H323" s="32" t="s">
        <v>26</v>
      </c>
      <c r="I323" s="32">
        <v>240214</v>
      </c>
      <c r="J323" s="32">
        <v>26842</v>
      </c>
      <c r="K323" s="37">
        <v>65.2</v>
      </c>
      <c r="L323" s="37" t="s">
        <v>19</v>
      </c>
      <c r="M323" s="32">
        <v>134214</v>
      </c>
    </row>
    <row r="324" spans="1:13" s="32" customFormat="1">
      <c r="A324" s="32">
        <v>2021</v>
      </c>
      <c r="B324" s="32" t="s">
        <v>740</v>
      </c>
      <c r="C324" s="32" t="s">
        <v>794</v>
      </c>
      <c r="D324" s="32">
        <v>37</v>
      </c>
      <c r="E324" s="32" t="s">
        <v>795</v>
      </c>
      <c r="F324" s="37" t="s">
        <v>174</v>
      </c>
      <c r="G324" s="37" t="s">
        <v>502</v>
      </c>
      <c r="H324" s="32" t="s">
        <v>39</v>
      </c>
      <c r="I324" s="32">
        <v>244214</v>
      </c>
      <c r="J324" s="32">
        <v>28842</v>
      </c>
      <c r="K324" s="37">
        <v>66.099999999999994</v>
      </c>
      <c r="L324" s="37" t="s">
        <v>19</v>
      </c>
      <c r="M324" s="32">
        <v>136214</v>
      </c>
    </row>
    <row r="325" spans="1:13" s="32" customFormat="1">
      <c r="A325" s="32">
        <v>2023</v>
      </c>
      <c r="B325" s="32" t="s">
        <v>740</v>
      </c>
      <c r="C325" s="32" t="s">
        <v>796</v>
      </c>
      <c r="D325" s="32">
        <v>171</v>
      </c>
      <c r="E325" s="32" t="s">
        <v>797</v>
      </c>
      <c r="F325" s="37" t="s">
        <v>178</v>
      </c>
      <c r="G325" s="37" t="s">
        <v>181</v>
      </c>
      <c r="H325" s="32" t="s">
        <v>26</v>
      </c>
      <c r="I325" s="32">
        <v>248214</v>
      </c>
      <c r="J325" s="32">
        <v>30842</v>
      </c>
      <c r="K325" s="37">
        <v>67.400000000000006</v>
      </c>
      <c r="L325" s="37" t="s">
        <v>19</v>
      </c>
      <c r="M325" s="32">
        <v>138214</v>
      </c>
    </row>
    <row r="326" spans="1:13" s="32" customFormat="1">
      <c r="A326" s="32">
        <v>2023</v>
      </c>
      <c r="B326" s="32" t="s">
        <v>740</v>
      </c>
      <c r="C326" s="32" t="s">
        <v>798</v>
      </c>
      <c r="D326" s="32">
        <v>56</v>
      </c>
      <c r="E326" s="32" t="s">
        <v>799</v>
      </c>
      <c r="F326" s="37" t="s">
        <v>174</v>
      </c>
      <c r="G326" s="37" t="s">
        <v>502</v>
      </c>
      <c r="H326" s="32" t="s">
        <v>39</v>
      </c>
      <c r="I326" s="32">
        <v>252214</v>
      </c>
      <c r="J326" s="32">
        <v>32842</v>
      </c>
      <c r="K326" s="37">
        <v>68.099999999999994</v>
      </c>
      <c r="L326" s="37" t="s">
        <v>107</v>
      </c>
      <c r="M326" s="32">
        <v>140214</v>
      </c>
    </row>
    <row r="327" spans="1:13" s="32" customFormat="1">
      <c r="A327" s="32">
        <v>1957</v>
      </c>
      <c r="B327" s="32" t="s">
        <v>800</v>
      </c>
      <c r="C327" s="32" t="s">
        <v>801</v>
      </c>
      <c r="D327" s="32">
        <v>1</v>
      </c>
      <c r="E327" s="32" t="s">
        <v>802</v>
      </c>
      <c r="F327" s="37" t="s">
        <v>174</v>
      </c>
      <c r="G327" s="37" t="s">
        <v>181</v>
      </c>
      <c r="H327" s="32" t="s">
        <v>26</v>
      </c>
      <c r="I327" s="32">
        <v>72400</v>
      </c>
      <c r="J327" s="32">
        <v>4210</v>
      </c>
      <c r="K327" s="37">
        <v>52.3</v>
      </c>
      <c r="L327" s="37" t="s">
        <v>19</v>
      </c>
      <c r="M327" s="32">
        <v>56800</v>
      </c>
    </row>
    <row r="328" spans="1:13" s="32" customFormat="1">
      <c r="A328" s="32">
        <v>1958</v>
      </c>
      <c r="B328" s="32" t="s">
        <v>800</v>
      </c>
      <c r="C328" s="32" t="s">
        <v>803</v>
      </c>
      <c r="D328" s="32">
        <v>67</v>
      </c>
      <c r="E328" s="32" t="s">
        <v>804</v>
      </c>
      <c r="F328" s="37" t="s">
        <v>174</v>
      </c>
      <c r="G328" s="37" t="s">
        <v>1126</v>
      </c>
      <c r="H328" s="32" t="s">
        <v>805</v>
      </c>
      <c r="I328" s="32">
        <v>81600</v>
      </c>
      <c r="J328" s="32">
        <v>5120</v>
      </c>
      <c r="K328" s="37">
        <v>54.1</v>
      </c>
      <c r="L328" s="37" t="s">
        <v>19</v>
      </c>
      <c r="M328" s="32">
        <v>61200</v>
      </c>
    </row>
    <row r="329" spans="1:13" s="32" customFormat="1">
      <c r="A329" s="32">
        <v>1960</v>
      </c>
      <c r="B329" s="32" t="s">
        <v>800</v>
      </c>
      <c r="C329" s="32" t="s">
        <v>806</v>
      </c>
      <c r="D329" s="32">
        <v>12</v>
      </c>
      <c r="E329" s="32" t="s">
        <v>807</v>
      </c>
      <c r="F329" s="37" t="s">
        <v>174</v>
      </c>
      <c r="G329" s="37" t="s">
        <v>1126</v>
      </c>
      <c r="H329" s="32" t="s">
        <v>805</v>
      </c>
      <c r="I329" s="32">
        <v>95200</v>
      </c>
      <c r="J329" s="32">
        <v>8340</v>
      </c>
      <c r="K329" s="37">
        <v>57.8</v>
      </c>
      <c r="L329" s="37" t="s">
        <v>19</v>
      </c>
      <c r="M329" s="32">
        <v>72400</v>
      </c>
    </row>
    <row r="330" spans="1:13" s="32" customFormat="1">
      <c r="A330" s="32">
        <v>1961</v>
      </c>
      <c r="B330" s="32" t="s">
        <v>800</v>
      </c>
      <c r="C330" s="32" t="s">
        <v>808</v>
      </c>
      <c r="D330" s="32">
        <v>1</v>
      </c>
      <c r="E330" s="32" t="s">
        <v>809</v>
      </c>
      <c r="F330" s="37" t="s">
        <v>174</v>
      </c>
      <c r="G330" s="37" t="s">
        <v>1137</v>
      </c>
      <c r="H330" s="32" t="s">
        <v>810</v>
      </c>
      <c r="I330" s="32">
        <v>68500</v>
      </c>
      <c r="J330" s="32">
        <v>3890</v>
      </c>
      <c r="K330" s="37">
        <v>51.6</v>
      </c>
      <c r="L330" s="37" t="s">
        <v>19</v>
      </c>
      <c r="M330" s="32">
        <v>52300</v>
      </c>
    </row>
    <row r="331" spans="1:13" s="32" customFormat="1">
      <c r="A331" s="32">
        <v>1965</v>
      </c>
      <c r="B331" s="32" t="s">
        <v>800</v>
      </c>
      <c r="C331" s="32" t="s">
        <v>811</v>
      </c>
      <c r="D331" s="32">
        <v>72</v>
      </c>
      <c r="E331" s="32" t="s">
        <v>812</v>
      </c>
      <c r="F331" s="37" t="s">
        <v>174</v>
      </c>
      <c r="G331" s="37" t="s">
        <v>181</v>
      </c>
      <c r="H331" s="32" t="s">
        <v>26</v>
      </c>
      <c r="I331" s="32">
        <v>88400</v>
      </c>
      <c r="J331" s="32">
        <v>6210</v>
      </c>
      <c r="K331" s="37">
        <v>53.9</v>
      </c>
      <c r="L331" s="37" t="s">
        <v>19</v>
      </c>
      <c r="M331" s="32">
        <v>66200</v>
      </c>
    </row>
    <row r="332" spans="1:13" s="32" customFormat="1">
      <c r="A332" s="32">
        <v>1967</v>
      </c>
      <c r="B332" s="32" t="s">
        <v>800</v>
      </c>
      <c r="C332" s="32" t="s">
        <v>813</v>
      </c>
      <c r="D332" s="32">
        <v>115</v>
      </c>
      <c r="E332" s="32" t="s">
        <v>814</v>
      </c>
      <c r="F332" s="37" t="s">
        <v>178</v>
      </c>
      <c r="G332" s="37" t="s">
        <v>1120</v>
      </c>
      <c r="H332" s="32" t="s">
        <v>815</v>
      </c>
      <c r="I332" s="32">
        <v>102600</v>
      </c>
      <c r="J332" s="32">
        <v>7430</v>
      </c>
      <c r="K332" s="37">
        <v>55.2</v>
      </c>
      <c r="L332" s="37" t="s">
        <v>19</v>
      </c>
      <c r="M332" s="32">
        <v>78400</v>
      </c>
    </row>
    <row r="333" spans="1:13" s="32" customFormat="1">
      <c r="A333" s="32">
        <v>1969</v>
      </c>
      <c r="B333" s="32" t="s">
        <v>800</v>
      </c>
      <c r="C333" s="32" t="s">
        <v>816</v>
      </c>
      <c r="D333" s="32">
        <v>96</v>
      </c>
      <c r="E333" s="32" t="s">
        <v>817</v>
      </c>
      <c r="F333" s="37" t="s">
        <v>174</v>
      </c>
      <c r="G333" s="37" t="s">
        <v>181</v>
      </c>
      <c r="H333" s="32" t="s">
        <v>26</v>
      </c>
      <c r="I333" s="32">
        <v>97800</v>
      </c>
      <c r="J333" s="32">
        <v>5870</v>
      </c>
      <c r="K333" s="37">
        <v>52.7</v>
      </c>
      <c r="L333" s="37" t="s">
        <v>107</v>
      </c>
      <c r="M333" s="32">
        <v>74600</v>
      </c>
    </row>
    <row r="334" spans="1:13" s="32" customFormat="1">
      <c r="A334" s="32">
        <v>1970</v>
      </c>
      <c r="B334" s="32" t="s">
        <v>800</v>
      </c>
      <c r="C334" s="32" t="s">
        <v>808</v>
      </c>
      <c r="D334" s="32">
        <v>1</v>
      </c>
      <c r="E334" s="32" t="s">
        <v>809</v>
      </c>
      <c r="F334" s="37" t="s">
        <v>174</v>
      </c>
      <c r="G334" s="37" t="s">
        <v>1137</v>
      </c>
      <c r="H334" s="32" t="s">
        <v>810</v>
      </c>
      <c r="I334" s="32">
        <v>74200</v>
      </c>
      <c r="J334" s="32">
        <v>4560</v>
      </c>
      <c r="K334" s="37">
        <v>53.1</v>
      </c>
      <c r="L334" s="37" t="s">
        <v>19</v>
      </c>
      <c r="M334" s="32">
        <v>58600</v>
      </c>
    </row>
    <row r="335" spans="1:13" s="32" customFormat="1">
      <c r="A335" s="32">
        <v>1971</v>
      </c>
      <c r="B335" s="32" t="s">
        <v>800</v>
      </c>
      <c r="C335" s="32" t="s">
        <v>818</v>
      </c>
      <c r="D335" s="32">
        <v>2</v>
      </c>
      <c r="E335" s="32" t="s">
        <v>819</v>
      </c>
      <c r="F335" s="37" t="s">
        <v>174</v>
      </c>
      <c r="G335" s="37" t="s">
        <v>409</v>
      </c>
      <c r="H335" s="32" t="s">
        <v>409</v>
      </c>
      <c r="I335" s="32">
        <v>78400</v>
      </c>
      <c r="J335" s="32">
        <v>5120</v>
      </c>
      <c r="K335" s="37">
        <v>54</v>
      </c>
      <c r="L335" s="37" t="s">
        <v>19</v>
      </c>
      <c r="M335" s="32">
        <v>61200</v>
      </c>
    </row>
    <row r="336" spans="1:13" s="32" customFormat="1">
      <c r="A336" s="32">
        <v>1974</v>
      </c>
      <c r="B336" s="32" t="s">
        <v>800</v>
      </c>
      <c r="C336" s="32" t="s">
        <v>806</v>
      </c>
      <c r="D336" s="32">
        <v>12</v>
      </c>
      <c r="E336" s="32" t="s">
        <v>820</v>
      </c>
      <c r="F336" s="37" t="s">
        <v>174</v>
      </c>
      <c r="G336" s="37" t="s">
        <v>1138</v>
      </c>
      <c r="H336" s="32" t="s">
        <v>815</v>
      </c>
      <c r="I336" s="32">
        <v>102800</v>
      </c>
      <c r="J336" s="32">
        <v>7340</v>
      </c>
      <c r="K336" s="37">
        <v>52.9</v>
      </c>
      <c r="L336" s="37" t="s">
        <v>19</v>
      </c>
      <c r="M336" s="32">
        <v>77600</v>
      </c>
    </row>
    <row r="337" spans="1:13" s="32" customFormat="1">
      <c r="A337" s="32">
        <v>1975</v>
      </c>
      <c r="B337" s="32" t="s">
        <v>800</v>
      </c>
      <c r="C337" s="32" t="s">
        <v>803</v>
      </c>
      <c r="D337" s="32">
        <v>67</v>
      </c>
      <c r="E337" s="32" t="s">
        <v>804</v>
      </c>
      <c r="F337" s="37" t="s">
        <v>174</v>
      </c>
      <c r="G337" s="37" t="s">
        <v>1126</v>
      </c>
      <c r="H337" s="32" t="s">
        <v>805</v>
      </c>
      <c r="I337" s="32">
        <v>96200</v>
      </c>
      <c r="J337" s="32">
        <v>6210</v>
      </c>
      <c r="K337" s="37">
        <v>53.7</v>
      </c>
      <c r="L337" s="37" t="s">
        <v>19</v>
      </c>
      <c r="M337" s="32">
        <v>72800</v>
      </c>
    </row>
    <row r="338" spans="1:13" s="32" customFormat="1">
      <c r="A338" s="32">
        <v>1977</v>
      </c>
      <c r="B338" s="32" t="s">
        <v>800</v>
      </c>
      <c r="C338" s="32" t="s">
        <v>811</v>
      </c>
      <c r="D338" s="32">
        <v>72</v>
      </c>
      <c r="E338" s="32" t="s">
        <v>821</v>
      </c>
      <c r="F338" s="37" t="s">
        <v>174</v>
      </c>
      <c r="G338" s="37" t="s">
        <v>181</v>
      </c>
      <c r="H338" s="32" t="s">
        <v>26</v>
      </c>
      <c r="I338" s="32">
        <v>105600</v>
      </c>
      <c r="J338" s="32">
        <v>8240</v>
      </c>
      <c r="K338" s="37">
        <v>54.1</v>
      </c>
      <c r="L338" s="37" t="s">
        <v>19</v>
      </c>
      <c r="M338" s="32">
        <v>81400</v>
      </c>
    </row>
    <row r="339" spans="1:13" s="32" customFormat="1">
      <c r="A339" s="32">
        <v>1978</v>
      </c>
      <c r="B339" s="32" t="s">
        <v>800</v>
      </c>
      <c r="C339" s="32" t="s">
        <v>816</v>
      </c>
      <c r="D339" s="32">
        <v>96</v>
      </c>
      <c r="E339" s="32" t="s">
        <v>817</v>
      </c>
      <c r="F339" s="37" t="s">
        <v>174</v>
      </c>
      <c r="G339" s="37" t="s">
        <v>181</v>
      </c>
      <c r="H339" s="32" t="s">
        <v>26</v>
      </c>
      <c r="I339" s="32">
        <v>102400</v>
      </c>
      <c r="J339" s="32">
        <v>7540</v>
      </c>
      <c r="K339" s="37">
        <v>53.8</v>
      </c>
      <c r="L339" s="37" t="s">
        <v>107</v>
      </c>
      <c r="M339" s="32">
        <v>78200</v>
      </c>
    </row>
    <row r="340" spans="1:13" s="32" customFormat="1">
      <c r="A340" s="32">
        <v>1979</v>
      </c>
      <c r="B340" s="32" t="s">
        <v>800</v>
      </c>
      <c r="C340" s="32" t="s">
        <v>813</v>
      </c>
      <c r="D340" s="32">
        <v>115</v>
      </c>
      <c r="E340" s="32" t="s">
        <v>822</v>
      </c>
      <c r="F340" s="37" t="s">
        <v>174</v>
      </c>
      <c r="G340" s="37" t="s">
        <v>1126</v>
      </c>
      <c r="H340" s="32" t="s">
        <v>805</v>
      </c>
      <c r="I340" s="32">
        <v>103200</v>
      </c>
      <c r="J340" s="32">
        <v>6460</v>
      </c>
      <c r="K340" s="37">
        <v>53.2</v>
      </c>
      <c r="L340" s="37" t="s">
        <v>19</v>
      </c>
      <c r="M340" s="32">
        <v>77900</v>
      </c>
    </row>
    <row r="341" spans="1:13" s="32" customFormat="1">
      <c r="A341" s="32">
        <v>1980</v>
      </c>
      <c r="B341" s="32" t="s">
        <v>800</v>
      </c>
      <c r="C341" s="32" t="s">
        <v>808</v>
      </c>
      <c r="D341" s="32">
        <v>1</v>
      </c>
      <c r="E341" s="32" t="s">
        <v>809</v>
      </c>
      <c r="F341" s="37" t="s">
        <v>174</v>
      </c>
      <c r="G341" s="37" t="s">
        <v>1137</v>
      </c>
      <c r="H341" s="32" t="s">
        <v>810</v>
      </c>
      <c r="I341" s="32">
        <v>82400</v>
      </c>
      <c r="J341" s="32">
        <v>5210</v>
      </c>
      <c r="K341" s="37">
        <v>53.4</v>
      </c>
      <c r="L341" s="37" t="s">
        <v>19</v>
      </c>
      <c r="M341" s="32">
        <v>63200</v>
      </c>
    </row>
    <row r="342" spans="1:13" s="32" customFormat="1">
      <c r="A342" s="32">
        <v>1982</v>
      </c>
      <c r="B342" s="32" t="s">
        <v>800</v>
      </c>
      <c r="C342" s="32" t="s">
        <v>818</v>
      </c>
      <c r="D342" s="32">
        <v>2</v>
      </c>
      <c r="E342" s="32" t="s">
        <v>819</v>
      </c>
      <c r="F342" s="37" t="s">
        <v>174</v>
      </c>
      <c r="G342" s="37" t="s">
        <v>409</v>
      </c>
      <c r="H342" s="32" t="s">
        <v>409</v>
      </c>
      <c r="I342" s="32">
        <v>86600</v>
      </c>
      <c r="J342" s="32">
        <v>6120</v>
      </c>
      <c r="K342" s="37">
        <v>54.2</v>
      </c>
      <c r="L342" s="37" t="s">
        <v>19</v>
      </c>
      <c r="M342" s="32">
        <v>68400</v>
      </c>
    </row>
    <row r="343" spans="1:13" s="32" customFormat="1">
      <c r="A343" s="32">
        <v>1983</v>
      </c>
      <c r="B343" s="32" t="s">
        <v>800</v>
      </c>
      <c r="C343" s="32" t="s">
        <v>806</v>
      </c>
      <c r="D343" s="32">
        <v>12</v>
      </c>
      <c r="E343" s="32" t="s">
        <v>820</v>
      </c>
      <c r="F343" s="37" t="s">
        <v>174</v>
      </c>
      <c r="G343" s="37" t="s">
        <v>1138</v>
      </c>
      <c r="H343" s="32" t="s">
        <v>815</v>
      </c>
      <c r="I343" s="32">
        <v>108200</v>
      </c>
      <c r="J343" s="32">
        <v>7890</v>
      </c>
      <c r="K343" s="37">
        <v>52.7</v>
      </c>
      <c r="L343" s="37" t="s">
        <v>19</v>
      </c>
      <c r="M343" s="32">
        <v>81600</v>
      </c>
    </row>
    <row r="344" spans="1:13" s="32" customFormat="1">
      <c r="A344" s="32">
        <v>1985</v>
      </c>
      <c r="B344" s="32" t="s">
        <v>800</v>
      </c>
      <c r="C344" s="32" t="s">
        <v>803</v>
      </c>
      <c r="D344" s="32">
        <v>67</v>
      </c>
      <c r="E344" s="32" t="s">
        <v>804</v>
      </c>
      <c r="F344" s="37" t="s">
        <v>174</v>
      </c>
      <c r="G344" s="37" t="s">
        <v>1126</v>
      </c>
      <c r="H344" s="32" t="s">
        <v>805</v>
      </c>
      <c r="I344" s="32">
        <v>102400</v>
      </c>
      <c r="J344" s="32">
        <v>6430</v>
      </c>
      <c r="K344" s="37">
        <v>53.1</v>
      </c>
      <c r="L344" s="37" t="s">
        <v>19</v>
      </c>
      <c r="M344" s="32">
        <v>77600</v>
      </c>
    </row>
    <row r="345" spans="1:13" s="32" customFormat="1">
      <c r="A345" s="32">
        <v>1987</v>
      </c>
      <c r="B345" s="32" t="s">
        <v>800</v>
      </c>
      <c r="C345" s="32" t="s">
        <v>811</v>
      </c>
      <c r="D345" s="32">
        <v>72</v>
      </c>
      <c r="E345" s="32" t="s">
        <v>821</v>
      </c>
      <c r="F345" s="37" t="s">
        <v>174</v>
      </c>
      <c r="G345" s="37" t="s">
        <v>181</v>
      </c>
      <c r="H345" s="32" t="s">
        <v>26</v>
      </c>
      <c r="I345" s="32">
        <v>109800</v>
      </c>
      <c r="J345" s="32">
        <v>8240</v>
      </c>
      <c r="K345" s="37">
        <v>54.1</v>
      </c>
      <c r="L345" s="37" t="s">
        <v>19</v>
      </c>
      <c r="M345" s="32">
        <v>83400</v>
      </c>
    </row>
    <row r="346" spans="1:13" s="32" customFormat="1">
      <c r="A346" s="32">
        <v>1988</v>
      </c>
      <c r="B346" s="32" t="s">
        <v>800</v>
      </c>
      <c r="C346" s="32" t="s">
        <v>816</v>
      </c>
      <c r="D346" s="32">
        <v>96</v>
      </c>
      <c r="E346" s="32" t="s">
        <v>817</v>
      </c>
      <c r="F346" s="37" t="s">
        <v>174</v>
      </c>
      <c r="G346" s="37" t="s">
        <v>181</v>
      </c>
      <c r="H346" s="32" t="s">
        <v>26</v>
      </c>
      <c r="I346" s="32">
        <v>105200</v>
      </c>
      <c r="J346" s="32">
        <v>7540</v>
      </c>
      <c r="K346" s="37">
        <v>53.8</v>
      </c>
      <c r="L346" s="37" t="s">
        <v>107</v>
      </c>
      <c r="M346" s="32">
        <v>79800</v>
      </c>
    </row>
    <row r="347" spans="1:13" s="32" customFormat="1">
      <c r="A347" s="32">
        <v>1989</v>
      </c>
      <c r="B347" s="32" t="s">
        <v>800</v>
      </c>
      <c r="C347" s="32" t="s">
        <v>813</v>
      </c>
      <c r="D347" s="32">
        <v>115</v>
      </c>
      <c r="E347" s="32" t="s">
        <v>822</v>
      </c>
      <c r="F347" s="37" t="s">
        <v>174</v>
      </c>
      <c r="G347" s="37" t="s">
        <v>1126</v>
      </c>
      <c r="H347" s="32" t="s">
        <v>805</v>
      </c>
      <c r="I347" s="32">
        <v>106600</v>
      </c>
      <c r="J347" s="32">
        <v>6870</v>
      </c>
      <c r="K347" s="37">
        <v>52.9</v>
      </c>
      <c r="L347" s="37" t="s">
        <v>19</v>
      </c>
      <c r="M347" s="32">
        <v>80200</v>
      </c>
    </row>
    <row r="348" spans="1:13" s="32" customFormat="1">
      <c r="A348" s="32">
        <v>1990</v>
      </c>
      <c r="B348" s="32" t="s">
        <v>800</v>
      </c>
      <c r="C348" s="32" t="s">
        <v>808</v>
      </c>
      <c r="D348" s="32">
        <v>1</v>
      </c>
      <c r="E348" s="32" t="s">
        <v>809</v>
      </c>
      <c r="F348" s="37" t="s">
        <v>174</v>
      </c>
      <c r="G348" s="37" t="s">
        <v>1137</v>
      </c>
      <c r="H348" s="32" t="s">
        <v>810</v>
      </c>
      <c r="I348" s="32">
        <v>84200</v>
      </c>
      <c r="J348" s="32">
        <v>5610</v>
      </c>
      <c r="K348" s="37">
        <v>53.8</v>
      </c>
      <c r="L348" s="37" t="s">
        <v>19</v>
      </c>
      <c r="M348" s="32">
        <v>64800</v>
      </c>
    </row>
    <row r="349" spans="1:13" s="32" customFormat="1">
      <c r="A349" s="32">
        <v>1991</v>
      </c>
      <c r="B349" s="32" t="s">
        <v>800</v>
      </c>
      <c r="C349" s="32" t="s">
        <v>818</v>
      </c>
      <c r="D349" s="32">
        <v>2</v>
      </c>
      <c r="E349" s="32" t="s">
        <v>819</v>
      </c>
      <c r="F349" s="37" t="s">
        <v>174</v>
      </c>
      <c r="G349" s="37" t="s">
        <v>409</v>
      </c>
      <c r="H349" s="32" t="s">
        <v>409</v>
      </c>
      <c r="I349" s="32">
        <v>88600</v>
      </c>
      <c r="J349" s="32">
        <v>6120</v>
      </c>
      <c r="K349" s="37">
        <v>54.2</v>
      </c>
      <c r="L349" s="37" t="s">
        <v>19</v>
      </c>
      <c r="M349" s="32">
        <v>68400</v>
      </c>
    </row>
    <row r="350" spans="1:13" s="32" customFormat="1">
      <c r="A350" s="32">
        <v>1992</v>
      </c>
      <c r="B350" s="32" t="s">
        <v>800</v>
      </c>
      <c r="C350" s="32" t="s">
        <v>823</v>
      </c>
      <c r="D350" s="32">
        <v>3</v>
      </c>
      <c r="E350" s="32" t="s">
        <v>824</v>
      </c>
      <c r="F350" s="37" t="s">
        <v>174</v>
      </c>
      <c r="G350" s="37" t="s">
        <v>1126</v>
      </c>
      <c r="H350" s="32" t="s">
        <v>805</v>
      </c>
      <c r="I350" s="32">
        <v>94400</v>
      </c>
      <c r="J350" s="32">
        <v>6180</v>
      </c>
      <c r="K350" s="37">
        <v>55.6</v>
      </c>
      <c r="L350" s="37" t="s">
        <v>19</v>
      </c>
      <c r="M350" s="32">
        <v>71500</v>
      </c>
    </row>
    <row r="351" spans="1:13" s="32" customFormat="1">
      <c r="A351" s="32">
        <v>1994</v>
      </c>
      <c r="B351" s="32" t="s">
        <v>800</v>
      </c>
      <c r="C351" s="32" t="s">
        <v>825</v>
      </c>
      <c r="D351" s="32">
        <v>4</v>
      </c>
      <c r="E351" s="32" t="s">
        <v>826</v>
      </c>
      <c r="F351" s="37" t="s">
        <v>174</v>
      </c>
      <c r="G351" s="37" t="s">
        <v>1120</v>
      </c>
      <c r="H351" s="32" t="s">
        <v>815</v>
      </c>
      <c r="I351" s="32">
        <v>95200</v>
      </c>
      <c r="J351" s="32">
        <v>11640</v>
      </c>
      <c r="K351" s="37">
        <v>61.2</v>
      </c>
      <c r="L351" s="37" t="s">
        <v>19</v>
      </c>
      <c r="M351" s="32">
        <v>73400</v>
      </c>
    </row>
    <row r="352" spans="1:13" s="32" customFormat="1">
      <c r="A352" s="32">
        <v>1996</v>
      </c>
      <c r="B352" s="32" t="s">
        <v>800</v>
      </c>
      <c r="C352" s="32" t="s">
        <v>806</v>
      </c>
      <c r="D352" s="32">
        <v>12</v>
      </c>
      <c r="E352" s="32" t="s">
        <v>820</v>
      </c>
      <c r="F352" s="37" t="s">
        <v>174</v>
      </c>
      <c r="G352" s="37" t="s">
        <v>1138</v>
      </c>
      <c r="H352" s="32" t="s">
        <v>815</v>
      </c>
      <c r="I352" s="32">
        <v>105400</v>
      </c>
      <c r="J352" s="32">
        <v>7890</v>
      </c>
      <c r="K352" s="37">
        <v>52.6</v>
      </c>
      <c r="L352" s="37" t="s">
        <v>19</v>
      </c>
      <c r="M352" s="32">
        <v>79200</v>
      </c>
    </row>
    <row r="353" spans="1:13" s="32" customFormat="1">
      <c r="A353" s="32">
        <v>1996</v>
      </c>
      <c r="B353" s="32" t="s">
        <v>800</v>
      </c>
      <c r="C353" s="32" t="s">
        <v>813</v>
      </c>
      <c r="D353" s="32">
        <v>115</v>
      </c>
      <c r="E353" s="32" t="s">
        <v>822</v>
      </c>
      <c r="F353" s="37" t="s">
        <v>174</v>
      </c>
      <c r="G353" s="37" t="s">
        <v>1126</v>
      </c>
      <c r="H353" s="32" t="s">
        <v>805</v>
      </c>
      <c r="I353" s="32">
        <v>102800</v>
      </c>
      <c r="J353" s="32">
        <v>6430</v>
      </c>
      <c r="K353" s="37">
        <v>53.1</v>
      </c>
      <c r="L353" s="37" t="s">
        <v>19</v>
      </c>
      <c r="M353" s="32">
        <v>77600</v>
      </c>
    </row>
    <row r="354" spans="1:13" s="32" customFormat="1">
      <c r="A354" s="32">
        <v>1998</v>
      </c>
      <c r="B354" s="32" t="s">
        <v>800</v>
      </c>
      <c r="C354" s="32" t="s">
        <v>827</v>
      </c>
      <c r="D354" s="32">
        <v>62</v>
      </c>
      <c r="E354" s="32" t="s">
        <v>828</v>
      </c>
      <c r="F354" s="37" t="s">
        <v>174</v>
      </c>
      <c r="G354" s="37" t="s">
        <v>1137</v>
      </c>
      <c r="H354" s="32" t="s">
        <v>810</v>
      </c>
      <c r="I354" s="32">
        <v>108400</v>
      </c>
      <c r="J354" s="32">
        <v>9230</v>
      </c>
      <c r="K354" s="37">
        <v>56.4</v>
      </c>
      <c r="L354" s="37" t="s">
        <v>19</v>
      </c>
      <c r="M354" s="32">
        <v>82000</v>
      </c>
    </row>
    <row r="355" spans="1:13" s="32" customFormat="1">
      <c r="A355" s="32">
        <v>1998</v>
      </c>
      <c r="B355" s="32" t="s">
        <v>800</v>
      </c>
      <c r="C355" s="32" t="s">
        <v>816</v>
      </c>
      <c r="D355" s="32">
        <v>96</v>
      </c>
      <c r="E355" s="32" t="s">
        <v>817</v>
      </c>
      <c r="F355" s="37" t="s">
        <v>174</v>
      </c>
      <c r="G355" s="37" t="s">
        <v>1139</v>
      </c>
      <c r="H355" s="32" t="s">
        <v>32</v>
      </c>
      <c r="I355" s="32">
        <v>102600</v>
      </c>
      <c r="J355" s="32">
        <v>7540</v>
      </c>
      <c r="K355" s="37">
        <v>53.8</v>
      </c>
      <c r="L355" s="37" t="s">
        <v>107</v>
      </c>
      <c r="M355" s="32">
        <v>78400</v>
      </c>
    </row>
    <row r="356" spans="1:13" s="32" customFormat="1">
      <c r="A356" s="32">
        <v>1998</v>
      </c>
      <c r="B356" s="32" t="s">
        <v>800</v>
      </c>
      <c r="C356" s="32" t="s">
        <v>829</v>
      </c>
      <c r="D356" s="32">
        <v>126</v>
      </c>
      <c r="E356" s="32" t="s">
        <v>830</v>
      </c>
      <c r="F356" s="37" t="s">
        <v>174</v>
      </c>
      <c r="G356" s="37" t="s">
        <v>1126</v>
      </c>
      <c r="H356" s="32" t="s">
        <v>805</v>
      </c>
      <c r="I356" s="32">
        <v>101200</v>
      </c>
      <c r="J356" s="32">
        <v>6870</v>
      </c>
      <c r="K356" s="37">
        <v>52.9</v>
      </c>
      <c r="L356" s="37" t="s">
        <v>19</v>
      </c>
      <c r="M356" s="32">
        <v>76900</v>
      </c>
    </row>
    <row r="357" spans="1:13" s="32" customFormat="1">
      <c r="A357" s="32">
        <v>1998</v>
      </c>
      <c r="B357" s="32" t="s">
        <v>800</v>
      </c>
      <c r="C357" s="32" t="s">
        <v>811</v>
      </c>
      <c r="D357" s="32">
        <v>72</v>
      </c>
      <c r="E357" s="32" t="s">
        <v>821</v>
      </c>
      <c r="F357" s="37" t="s">
        <v>174</v>
      </c>
      <c r="G357" s="37" t="s">
        <v>181</v>
      </c>
      <c r="H357" s="32" t="s">
        <v>26</v>
      </c>
      <c r="I357" s="32">
        <v>107600</v>
      </c>
      <c r="J357" s="32">
        <v>8240</v>
      </c>
      <c r="K357" s="37">
        <v>54.1</v>
      </c>
      <c r="L357" s="37" t="s">
        <v>19</v>
      </c>
      <c r="M357" s="32">
        <v>81400</v>
      </c>
    </row>
    <row r="358" spans="1:13" s="32" customFormat="1">
      <c r="A358" s="32">
        <v>2003</v>
      </c>
      <c r="B358" s="32" t="s">
        <v>800</v>
      </c>
      <c r="C358" s="32" t="s">
        <v>831</v>
      </c>
      <c r="D358" s="32">
        <v>105</v>
      </c>
      <c r="E358" s="32" t="s">
        <v>832</v>
      </c>
      <c r="F358" s="37" t="s">
        <v>174</v>
      </c>
      <c r="G358" s="37" t="s">
        <v>181</v>
      </c>
      <c r="H358" s="32" t="s">
        <v>26</v>
      </c>
      <c r="I358" s="32">
        <v>117742</v>
      </c>
      <c r="J358" s="32">
        <v>7000</v>
      </c>
      <c r="K358" s="37">
        <v>52</v>
      </c>
      <c r="L358" s="37" t="s">
        <v>19</v>
      </c>
      <c r="M358" s="32">
        <v>88151</v>
      </c>
    </row>
    <row r="359" spans="1:13" s="32" customFormat="1">
      <c r="A359" s="32">
        <v>2004</v>
      </c>
      <c r="B359" s="32" t="s">
        <v>800</v>
      </c>
      <c r="C359" s="32" t="s">
        <v>833</v>
      </c>
      <c r="D359" s="32">
        <v>55</v>
      </c>
      <c r="E359" s="32" t="s">
        <v>834</v>
      </c>
      <c r="F359" s="37" t="s">
        <v>174</v>
      </c>
      <c r="G359" s="37" t="s">
        <v>1120</v>
      </c>
      <c r="H359" s="32" t="s">
        <v>815</v>
      </c>
      <c r="I359" s="32">
        <v>160648</v>
      </c>
      <c r="J359" s="32">
        <v>5000</v>
      </c>
      <c r="K359" s="37">
        <v>35.299999999999997</v>
      </c>
      <c r="L359" s="37" t="s">
        <v>19</v>
      </c>
      <c r="M359" s="32">
        <v>127228</v>
      </c>
    </row>
    <row r="360" spans="1:13" s="32" customFormat="1">
      <c r="A360" s="32">
        <v>2005</v>
      </c>
      <c r="B360" s="32" t="s">
        <v>800</v>
      </c>
      <c r="C360" s="32" t="s">
        <v>835</v>
      </c>
      <c r="D360" s="32">
        <v>9</v>
      </c>
      <c r="E360" s="32" t="s">
        <v>836</v>
      </c>
      <c r="F360" s="37" t="s">
        <v>174</v>
      </c>
      <c r="G360" s="37" t="s">
        <v>1137</v>
      </c>
      <c r="H360" s="32" t="s">
        <v>810</v>
      </c>
      <c r="I360" s="32">
        <v>150000</v>
      </c>
      <c r="J360" s="32">
        <v>5000</v>
      </c>
      <c r="K360" s="37">
        <v>51</v>
      </c>
      <c r="L360" s="37" t="s">
        <v>19</v>
      </c>
      <c r="M360" s="32">
        <v>110000</v>
      </c>
    </row>
    <row r="361" spans="1:13" s="32" customFormat="1">
      <c r="A361" s="32">
        <v>2005</v>
      </c>
      <c r="B361" s="32" t="s">
        <v>800</v>
      </c>
      <c r="C361" s="32" t="s">
        <v>837</v>
      </c>
      <c r="D361" s="32">
        <v>14</v>
      </c>
      <c r="E361" s="32" t="s">
        <v>838</v>
      </c>
      <c r="F361" s="37" t="s">
        <v>174</v>
      </c>
      <c r="G361" s="37" t="s">
        <v>1138</v>
      </c>
      <c r="H361" s="32" t="s">
        <v>815</v>
      </c>
      <c r="I361" s="32">
        <v>153765</v>
      </c>
      <c r="J361" s="32">
        <v>6000</v>
      </c>
      <c r="K361" s="37">
        <v>52.5</v>
      </c>
      <c r="L361" s="37" t="s">
        <v>19</v>
      </c>
      <c r="M361" s="32">
        <v>122454</v>
      </c>
    </row>
    <row r="362" spans="1:13" s="32" customFormat="1">
      <c r="A362" s="32">
        <v>2012</v>
      </c>
      <c r="B362" s="32" t="s">
        <v>800</v>
      </c>
      <c r="C362" s="32" t="s">
        <v>839</v>
      </c>
      <c r="D362" s="32">
        <v>85</v>
      </c>
      <c r="E362" s="32" t="s">
        <v>840</v>
      </c>
      <c r="F362" s="37" t="s">
        <v>174</v>
      </c>
      <c r="G362" s="37" t="s">
        <v>1139</v>
      </c>
      <c r="H362" s="32" t="s">
        <v>32</v>
      </c>
      <c r="I362" s="32">
        <v>172000</v>
      </c>
      <c r="J362" s="32">
        <v>12000</v>
      </c>
      <c r="K362" s="37">
        <v>55</v>
      </c>
      <c r="L362" s="37" t="s">
        <v>19</v>
      </c>
      <c r="M362" s="32">
        <v>128000</v>
      </c>
    </row>
    <row r="363" spans="1:13" s="32" customFormat="1">
      <c r="A363" s="32">
        <v>2012</v>
      </c>
      <c r="B363" s="32" t="s">
        <v>800</v>
      </c>
      <c r="C363" s="32" t="s">
        <v>841</v>
      </c>
      <c r="D363" s="32">
        <v>140</v>
      </c>
      <c r="E363" s="32" t="s">
        <v>842</v>
      </c>
      <c r="F363" s="37" t="s">
        <v>174</v>
      </c>
      <c r="G363" s="37" t="s">
        <v>181</v>
      </c>
      <c r="H363" s="32" t="s">
        <v>26</v>
      </c>
      <c r="I363" s="32">
        <v>165000</v>
      </c>
      <c r="J363" s="32">
        <v>6334</v>
      </c>
      <c r="K363" s="37">
        <v>49.5</v>
      </c>
      <c r="L363" s="37" t="s">
        <v>19</v>
      </c>
      <c r="M363" s="32">
        <v>120000</v>
      </c>
    </row>
    <row r="364" spans="1:13" s="32" customFormat="1">
      <c r="A364" s="32">
        <v>2015</v>
      </c>
      <c r="B364" s="32" t="s">
        <v>800</v>
      </c>
      <c r="C364" s="32" t="s">
        <v>843</v>
      </c>
      <c r="D364" s="32">
        <v>120</v>
      </c>
      <c r="E364" s="32" t="s">
        <v>844</v>
      </c>
      <c r="F364" s="37" t="s">
        <v>174</v>
      </c>
      <c r="G364" s="37" t="s">
        <v>181</v>
      </c>
      <c r="H364" s="32" t="s">
        <v>26</v>
      </c>
      <c r="I364" s="32">
        <v>190000</v>
      </c>
      <c r="J364" s="32">
        <v>10000</v>
      </c>
      <c r="K364" s="37">
        <v>52</v>
      </c>
      <c r="L364" s="37" t="s">
        <v>19</v>
      </c>
      <c r="M364" s="32">
        <v>140000</v>
      </c>
    </row>
    <row r="365" spans="1:13" s="32" customFormat="1">
      <c r="A365" s="32">
        <v>2017</v>
      </c>
      <c r="B365" s="32" t="s">
        <v>800</v>
      </c>
      <c r="C365" s="32" t="s">
        <v>845</v>
      </c>
      <c r="D365" s="32">
        <v>41</v>
      </c>
      <c r="E365" s="32" t="s">
        <v>846</v>
      </c>
      <c r="F365" s="37" t="s">
        <v>174</v>
      </c>
      <c r="G365" s="37" t="s">
        <v>1137</v>
      </c>
      <c r="H365" s="32" t="s">
        <v>810</v>
      </c>
      <c r="I365" s="32">
        <v>171000</v>
      </c>
      <c r="J365" s="32">
        <v>23310</v>
      </c>
      <c r="K365" s="37">
        <v>60</v>
      </c>
      <c r="L365" s="37" t="s">
        <v>19</v>
      </c>
      <c r="M365" s="32">
        <v>130000</v>
      </c>
    </row>
    <row r="366" spans="1:13" s="32" customFormat="1">
      <c r="A366" s="32">
        <v>2019</v>
      </c>
      <c r="B366" s="32" t="s">
        <v>800</v>
      </c>
      <c r="C366" s="32" t="s">
        <v>847</v>
      </c>
      <c r="D366" s="32">
        <v>100</v>
      </c>
      <c r="E366" s="32" t="s">
        <v>848</v>
      </c>
      <c r="F366" s="37" t="s">
        <v>174</v>
      </c>
      <c r="G366" s="37" t="s">
        <v>1124</v>
      </c>
      <c r="H366" s="32" t="s">
        <v>87</v>
      </c>
      <c r="I366" s="32">
        <v>179000</v>
      </c>
      <c r="J366" s="32">
        <v>2943</v>
      </c>
      <c r="K366" s="37">
        <v>51</v>
      </c>
      <c r="L366" s="37" t="s">
        <v>19</v>
      </c>
      <c r="M366" s="32">
        <v>135000</v>
      </c>
    </row>
    <row r="367" spans="1:13" s="32" customFormat="1">
      <c r="A367" s="32">
        <v>2021</v>
      </c>
      <c r="B367" s="32" t="s">
        <v>800</v>
      </c>
      <c r="C367" s="32" t="s">
        <v>827</v>
      </c>
      <c r="D367" s="32">
        <v>36</v>
      </c>
      <c r="E367" s="32" t="s">
        <v>849</v>
      </c>
      <c r="F367" s="37" t="s">
        <v>174</v>
      </c>
      <c r="G367" s="37" t="s">
        <v>1137</v>
      </c>
      <c r="H367" s="32" t="s">
        <v>810</v>
      </c>
      <c r="I367" s="32">
        <v>180000</v>
      </c>
      <c r="J367" s="32">
        <v>29000</v>
      </c>
      <c r="K367" s="37">
        <v>62</v>
      </c>
      <c r="L367" s="37" t="s">
        <v>19</v>
      </c>
      <c r="M367" s="32">
        <v>140000</v>
      </c>
    </row>
    <row r="368" spans="1:13" s="32" customFormat="1">
      <c r="A368" s="32">
        <v>2021</v>
      </c>
      <c r="B368" s="32" t="s">
        <v>800</v>
      </c>
      <c r="C368" s="32" t="s">
        <v>850</v>
      </c>
      <c r="D368" s="32">
        <v>49</v>
      </c>
      <c r="E368" s="32" t="s">
        <v>851</v>
      </c>
      <c r="F368" s="37" t="s">
        <v>174</v>
      </c>
      <c r="G368" s="37" t="s">
        <v>1120</v>
      </c>
      <c r="H368" s="32" t="s">
        <v>815</v>
      </c>
      <c r="I368" s="32">
        <v>170000</v>
      </c>
      <c r="J368" s="32">
        <v>8000</v>
      </c>
      <c r="K368" s="37">
        <v>55</v>
      </c>
      <c r="L368" s="37" t="s">
        <v>19</v>
      </c>
      <c r="M368" s="32">
        <v>125000</v>
      </c>
    </row>
    <row r="369" spans="1:13" s="32" customFormat="1">
      <c r="A369" s="32">
        <v>2021</v>
      </c>
      <c r="B369" s="32" t="s">
        <v>800</v>
      </c>
      <c r="C369" s="32" t="s">
        <v>852</v>
      </c>
      <c r="D369" s="32">
        <v>41</v>
      </c>
      <c r="E369" s="32" t="s">
        <v>853</v>
      </c>
      <c r="F369" s="37" t="s">
        <v>174</v>
      </c>
      <c r="G369" s="37" t="s">
        <v>409</v>
      </c>
      <c r="H369" s="32" t="s">
        <v>409</v>
      </c>
      <c r="I369" s="32">
        <v>165000</v>
      </c>
      <c r="J369" s="32">
        <v>7500</v>
      </c>
      <c r="K369" s="37">
        <v>53</v>
      </c>
      <c r="L369" s="37" t="s">
        <v>19</v>
      </c>
      <c r="M369" s="32">
        <v>120000</v>
      </c>
    </row>
    <row r="370" spans="1:13" s="32" customFormat="1">
      <c r="A370" s="32">
        <v>2021</v>
      </c>
      <c r="B370" s="32" t="s">
        <v>800</v>
      </c>
      <c r="C370" s="32" t="s">
        <v>854</v>
      </c>
      <c r="D370" s="32">
        <v>38</v>
      </c>
      <c r="E370" s="32" t="s">
        <v>836</v>
      </c>
      <c r="F370" s="37" t="s">
        <v>174</v>
      </c>
      <c r="G370" s="37" t="s">
        <v>1137</v>
      </c>
      <c r="H370" s="32" t="s">
        <v>810</v>
      </c>
      <c r="I370" s="32">
        <v>175000</v>
      </c>
      <c r="J370" s="32">
        <v>9000</v>
      </c>
      <c r="K370" s="37">
        <v>54</v>
      </c>
      <c r="L370" s="37" t="s">
        <v>19</v>
      </c>
      <c r="M370" s="32">
        <v>130000</v>
      </c>
    </row>
    <row r="371" spans="1:13" s="32" customFormat="1">
      <c r="A371" s="32">
        <v>2021</v>
      </c>
      <c r="B371" s="32" t="s">
        <v>800</v>
      </c>
      <c r="C371" s="32" t="s">
        <v>855</v>
      </c>
      <c r="D371" s="32">
        <v>108</v>
      </c>
      <c r="E371" s="32" t="s">
        <v>856</v>
      </c>
      <c r="F371" s="37" t="s">
        <v>174</v>
      </c>
      <c r="G371" s="37" t="s">
        <v>1140</v>
      </c>
      <c r="H371" s="32" t="s">
        <v>32</v>
      </c>
      <c r="I371" s="32">
        <v>180000</v>
      </c>
      <c r="J371" s="32">
        <v>6500</v>
      </c>
      <c r="K371" s="37">
        <v>52</v>
      </c>
      <c r="L371" s="37" t="s">
        <v>19</v>
      </c>
      <c r="M371" s="32">
        <v>135000</v>
      </c>
    </row>
    <row r="372" spans="1:13" s="32" customFormat="1">
      <c r="A372" s="32">
        <v>2021</v>
      </c>
      <c r="B372" s="32" t="s">
        <v>800</v>
      </c>
      <c r="C372" s="32" t="s">
        <v>857</v>
      </c>
      <c r="D372" s="32">
        <v>107</v>
      </c>
      <c r="E372" s="32" t="s">
        <v>858</v>
      </c>
      <c r="F372" s="37" t="s">
        <v>174</v>
      </c>
      <c r="G372" s="37" t="s">
        <v>1140</v>
      </c>
      <c r="H372" s="32" t="s">
        <v>32</v>
      </c>
      <c r="I372" s="32">
        <v>178000</v>
      </c>
      <c r="J372" s="32">
        <v>7200</v>
      </c>
      <c r="K372" s="37">
        <v>53</v>
      </c>
      <c r="L372" s="37" t="s">
        <v>19</v>
      </c>
      <c r="M372" s="32">
        <v>132000</v>
      </c>
    </row>
    <row r="373" spans="1:13" s="32" customFormat="1">
      <c r="A373" s="32">
        <v>2021</v>
      </c>
      <c r="B373" s="32" t="s">
        <v>800</v>
      </c>
      <c r="C373" s="32" t="s">
        <v>859</v>
      </c>
      <c r="D373" s="32">
        <v>110</v>
      </c>
      <c r="E373" s="32" t="s">
        <v>860</v>
      </c>
      <c r="F373" s="37" t="s">
        <v>174</v>
      </c>
      <c r="G373" s="37" t="s">
        <v>1120</v>
      </c>
      <c r="H373" s="32" t="s">
        <v>815</v>
      </c>
      <c r="I373" s="32">
        <v>176000</v>
      </c>
      <c r="J373" s="32">
        <v>8000</v>
      </c>
      <c r="K373" s="37">
        <v>54</v>
      </c>
      <c r="L373" s="37" t="s">
        <v>19</v>
      </c>
      <c r="M373" s="32">
        <v>128000</v>
      </c>
    </row>
    <row r="374" spans="1:13" s="32" customFormat="1">
      <c r="A374" s="32">
        <v>2021</v>
      </c>
      <c r="B374" s="32" t="s">
        <v>800</v>
      </c>
      <c r="C374" s="32" t="s">
        <v>808</v>
      </c>
      <c r="D374" s="32">
        <v>1</v>
      </c>
      <c r="E374" s="32" t="s">
        <v>861</v>
      </c>
      <c r="F374" s="37" t="s">
        <v>174</v>
      </c>
      <c r="G374" s="37" t="s">
        <v>1137</v>
      </c>
      <c r="H374" s="32" t="s">
        <v>810</v>
      </c>
      <c r="I374" s="32">
        <v>160000</v>
      </c>
      <c r="J374" s="32">
        <v>5500</v>
      </c>
      <c r="K374" s="37">
        <v>51</v>
      </c>
      <c r="L374" s="37" t="s">
        <v>19</v>
      </c>
      <c r="M374" s="32">
        <v>115000</v>
      </c>
    </row>
    <row r="375" spans="1:13" s="32" customFormat="1">
      <c r="A375" s="32">
        <v>2021</v>
      </c>
      <c r="B375" s="32" t="s">
        <v>800</v>
      </c>
      <c r="C375" s="32" t="s">
        <v>862</v>
      </c>
      <c r="D375" s="32">
        <v>133</v>
      </c>
      <c r="E375" s="32" t="s">
        <v>863</v>
      </c>
      <c r="F375" s="37" t="s">
        <v>174</v>
      </c>
      <c r="G375" s="37" t="s">
        <v>1136</v>
      </c>
      <c r="H375" s="32" t="s">
        <v>864</v>
      </c>
      <c r="I375" s="32">
        <v>185000</v>
      </c>
      <c r="J375" s="32">
        <v>9000</v>
      </c>
      <c r="K375" s="37">
        <v>53</v>
      </c>
      <c r="L375" s="37" t="s">
        <v>19</v>
      </c>
      <c r="M375" s="32">
        <v>140000</v>
      </c>
    </row>
    <row r="376" spans="1:13" s="32" customFormat="1">
      <c r="A376" s="32">
        <v>2021</v>
      </c>
      <c r="B376" s="32" t="s">
        <v>800</v>
      </c>
      <c r="C376" s="32" t="s">
        <v>865</v>
      </c>
      <c r="D376" s="32">
        <v>67</v>
      </c>
      <c r="E376" s="32" t="s">
        <v>866</v>
      </c>
      <c r="F376" s="37" t="s">
        <v>174</v>
      </c>
      <c r="G376" s="37" t="s">
        <v>1120</v>
      </c>
      <c r="H376" s="32" t="s">
        <v>815</v>
      </c>
      <c r="I376" s="32">
        <v>182000</v>
      </c>
      <c r="J376" s="32">
        <v>7800</v>
      </c>
      <c r="K376" s="37">
        <v>52.5</v>
      </c>
      <c r="L376" s="37" t="s">
        <v>19</v>
      </c>
      <c r="M376" s="32">
        <v>136000</v>
      </c>
    </row>
    <row r="377" spans="1:13" s="32" customFormat="1">
      <c r="A377" s="32">
        <v>2021</v>
      </c>
      <c r="B377" s="32" t="s">
        <v>800</v>
      </c>
      <c r="C377" s="32" t="s">
        <v>867</v>
      </c>
      <c r="D377" s="32">
        <v>96</v>
      </c>
      <c r="E377" s="32" t="s">
        <v>868</v>
      </c>
      <c r="F377" s="37" t="s">
        <v>174</v>
      </c>
      <c r="G377" s="37" t="s">
        <v>1120</v>
      </c>
      <c r="H377" s="32" t="s">
        <v>815</v>
      </c>
      <c r="I377" s="32">
        <v>180000</v>
      </c>
      <c r="J377" s="32">
        <v>8200</v>
      </c>
      <c r="K377" s="37">
        <v>53</v>
      </c>
      <c r="L377" s="37" t="s">
        <v>19</v>
      </c>
      <c r="M377" s="32">
        <v>134000</v>
      </c>
    </row>
    <row r="378" spans="1:13" s="32" customFormat="1">
      <c r="A378" s="32">
        <v>2021</v>
      </c>
      <c r="B378" s="32" t="s">
        <v>800</v>
      </c>
      <c r="C378" s="32" t="s">
        <v>869</v>
      </c>
      <c r="D378" s="32">
        <v>101</v>
      </c>
      <c r="E378" s="32" t="s">
        <v>870</v>
      </c>
      <c r="F378" s="37" t="s">
        <v>174</v>
      </c>
      <c r="G378" s="37" t="s">
        <v>1140</v>
      </c>
      <c r="H378" s="32" t="s">
        <v>32</v>
      </c>
      <c r="I378" s="32">
        <v>177000</v>
      </c>
      <c r="J378" s="32">
        <v>6700</v>
      </c>
      <c r="K378" s="37">
        <v>52</v>
      </c>
      <c r="L378" s="37" t="s">
        <v>19</v>
      </c>
      <c r="M378" s="32">
        <v>131000</v>
      </c>
    </row>
    <row r="379" spans="1:13" s="32" customFormat="1">
      <c r="A379" s="32">
        <v>2021</v>
      </c>
      <c r="B379" s="32" t="s">
        <v>800</v>
      </c>
      <c r="C379" s="32" t="s">
        <v>871</v>
      </c>
      <c r="D379" s="32">
        <v>12</v>
      </c>
      <c r="E379" s="32" t="s">
        <v>872</v>
      </c>
      <c r="F379" s="37" t="s">
        <v>174</v>
      </c>
      <c r="G379" s="37" t="s">
        <v>1120</v>
      </c>
      <c r="H379" s="32" t="s">
        <v>815</v>
      </c>
      <c r="I379" s="32">
        <v>175000</v>
      </c>
      <c r="J379" s="32">
        <v>7500</v>
      </c>
      <c r="K379" s="37">
        <v>53</v>
      </c>
      <c r="L379" s="37" t="s">
        <v>107</v>
      </c>
      <c r="M379" s="32">
        <v>129000</v>
      </c>
    </row>
    <row r="380" spans="1:13" s="32" customFormat="1">
      <c r="A380" s="32">
        <v>2021</v>
      </c>
      <c r="B380" s="32" t="s">
        <v>800</v>
      </c>
      <c r="C380" s="32" t="s">
        <v>831</v>
      </c>
      <c r="D380" s="32">
        <v>105</v>
      </c>
      <c r="E380" s="32" t="s">
        <v>873</v>
      </c>
      <c r="F380" s="37" t="s">
        <v>174</v>
      </c>
      <c r="G380" s="37" t="s">
        <v>1136</v>
      </c>
      <c r="H380" s="32" t="s">
        <v>864</v>
      </c>
      <c r="I380" s="32">
        <v>176000</v>
      </c>
      <c r="J380" s="32">
        <v>8000</v>
      </c>
      <c r="K380" s="37">
        <v>54</v>
      </c>
      <c r="L380" s="37" t="s">
        <v>19</v>
      </c>
      <c r="M380" s="32">
        <v>130000</v>
      </c>
    </row>
    <row r="381" spans="1:13" s="32" customFormat="1">
      <c r="A381" s="32">
        <v>2021</v>
      </c>
      <c r="B381" s="32" t="s">
        <v>800</v>
      </c>
      <c r="C381" s="32" t="s">
        <v>833</v>
      </c>
      <c r="D381" s="32">
        <v>55</v>
      </c>
      <c r="E381" s="32" t="s">
        <v>874</v>
      </c>
      <c r="F381" s="37" t="s">
        <v>174</v>
      </c>
      <c r="G381" s="37" t="s">
        <v>1120</v>
      </c>
      <c r="H381" s="32" t="s">
        <v>815</v>
      </c>
      <c r="I381" s="32">
        <v>178000</v>
      </c>
      <c r="J381" s="32">
        <v>7200</v>
      </c>
      <c r="K381" s="37">
        <v>53</v>
      </c>
      <c r="L381" s="37" t="s">
        <v>19</v>
      </c>
      <c r="M381" s="32">
        <v>132000</v>
      </c>
    </row>
    <row r="382" spans="1:13" s="32" customFormat="1">
      <c r="A382" s="32">
        <v>2021</v>
      </c>
      <c r="B382" s="32" t="s">
        <v>800</v>
      </c>
      <c r="C382" s="32" t="s">
        <v>875</v>
      </c>
      <c r="D382" s="32">
        <v>79</v>
      </c>
      <c r="E382" s="32" t="s">
        <v>876</v>
      </c>
      <c r="F382" s="37" t="s">
        <v>174</v>
      </c>
      <c r="G382" s="37" t="s">
        <v>181</v>
      </c>
      <c r="H382" s="32" t="s">
        <v>26</v>
      </c>
      <c r="I382" s="32">
        <v>180000</v>
      </c>
      <c r="J382" s="32">
        <v>6800</v>
      </c>
      <c r="K382" s="37">
        <v>52</v>
      </c>
      <c r="L382" s="37" t="s">
        <v>19</v>
      </c>
      <c r="M382" s="32">
        <v>134000</v>
      </c>
    </row>
    <row r="383" spans="1:13" s="32" customFormat="1">
      <c r="A383" s="32">
        <v>2021</v>
      </c>
      <c r="B383" s="32" t="s">
        <v>800</v>
      </c>
      <c r="C383" s="32" t="s">
        <v>811</v>
      </c>
      <c r="D383" s="32">
        <v>72</v>
      </c>
      <c r="E383" s="32" t="s">
        <v>877</v>
      </c>
      <c r="F383" s="37" t="s">
        <v>174</v>
      </c>
      <c r="G383" s="37" t="s">
        <v>181</v>
      </c>
      <c r="H383" s="32" t="s">
        <v>26</v>
      </c>
      <c r="I383" s="32">
        <v>182000</v>
      </c>
      <c r="J383" s="32">
        <v>7000</v>
      </c>
      <c r="K383" s="37">
        <v>52</v>
      </c>
      <c r="L383" s="37" t="s">
        <v>19</v>
      </c>
      <c r="M383" s="32">
        <v>136000</v>
      </c>
    </row>
    <row r="384" spans="1:13" s="32" customFormat="1">
      <c r="A384" s="32">
        <v>2021</v>
      </c>
      <c r="B384" s="32" t="s">
        <v>800</v>
      </c>
      <c r="C384" s="32" t="s">
        <v>816</v>
      </c>
      <c r="D384" s="32">
        <v>96</v>
      </c>
      <c r="E384" s="32" t="s">
        <v>878</v>
      </c>
      <c r="F384" s="37" t="s">
        <v>174</v>
      </c>
      <c r="G384" s="37" t="s">
        <v>1120</v>
      </c>
      <c r="H384" s="32" t="s">
        <v>815</v>
      </c>
      <c r="I384" s="32">
        <v>179000</v>
      </c>
      <c r="J384" s="32">
        <v>7500</v>
      </c>
      <c r="K384" s="37">
        <v>53</v>
      </c>
      <c r="L384" s="37" t="s">
        <v>107</v>
      </c>
      <c r="M384" s="32">
        <v>133000</v>
      </c>
    </row>
    <row r="385" spans="1:13" s="32" customFormat="1">
      <c r="A385" s="32">
        <v>2021</v>
      </c>
      <c r="B385" s="32" t="s">
        <v>800</v>
      </c>
      <c r="C385" s="32" t="s">
        <v>829</v>
      </c>
      <c r="D385" s="32">
        <v>126</v>
      </c>
      <c r="E385" s="32" t="s">
        <v>830</v>
      </c>
      <c r="F385" s="37" t="s">
        <v>174</v>
      </c>
      <c r="G385" s="37" t="s">
        <v>1126</v>
      </c>
      <c r="H385" s="32" t="s">
        <v>805</v>
      </c>
      <c r="I385" s="32">
        <v>177000</v>
      </c>
      <c r="J385" s="32">
        <v>6900</v>
      </c>
      <c r="K385" s="37">
        <v>52.5</v>
      </c>
      <c r="L385" s="37" t="s">
        <v>19</v>
      </c>
      <c r="M385" s="32">
        <v>131000</v>
      </c>
    </row>
    <row r="386" spans="1:13" s="32" customFormat="1">
      <c r="A386" s="32">
        <v>2021</v>
      </c>
      <c r="B386" s="32" t="s">
        <v>800</v>
      </c>
      <c r="C386" s="32" t="s">
        <v>879</v>
      </c>
      <c r="D386" s="32">
        <v>114</v>
      </c>
      <c r="E386" s="32" t="s">
        <v>880</v>
      </c>
      <c r="F386" s="37" t="s">
        <v>174</v>
      </c>
      <c r="G386" s="37" t="s">
        <v>1126</v>
      </c>
      <c r="H386" s="32" t="s">
        <v>805</v>
      </c>
      <c r="I386" s="32">
        <v>178000</v>
      </c>
      <c r="J386" s="32">
        <v>7200</v>
      </c>
      <c r="K386" s="37">
        <v>53</v>
      </c>
      <c r="L386" s="37" t="s">
        <v>19</v>
      </c>
      <c r="M386" s="32">
        <v>132000</v>
      </c>
    </row>
    <row r="387" spans="1:13" s="32" customFormat="1">
      <c r="A387" s="32">
        <v>2021</v>
      </c>
      <c r="B387" s="32" t="s">
        <v>800</v>
      </c>
      <c r="C387" s="32" t="s">
        <v>881</v>
      </c>
      <c r="D387" s="32">
        <v>115</v>
      </c>
      <c r="E387" s="32" t="s">
        <v>882</v>
      </c>
      <c r="F387" s="37" t="s">
        <v>174</v>
      </c>
      <c r="G387" s="37" t="s">
        <v>1141</v>
      </c>
      <c r="H387" s="32" t="s">
        <v>883</v>
      </c>
      <c r="I387" s="32">
        <v>179000</v>
      </c>
      <c r="J387" s="32">
        <v>8000</v>
      </c>
      <c r="K387" s="37">
        <v>54</v>
      </c>
      <c r="L387" s="37" t="s">
        <v>19</v>
      </c>
      <c r="M387" s="32">
        <v>133000</v>
      </c>
    </row>
    <row r="388" spans="1:13" s="33" customFormat="1" ht="15">
      <c r="A388" s="33">
        <v>1957</v>
      </c>
      <c r="B388" s="33" t="s">
        <v>884</v>
      </c>
      <c r="C388" s="33" t="s">
        <v>885</v>
      </c>
      <c r="D388" s="33">
        <v>1</v>
      </c>
      <c r="E388" s="33" t="s">
        <v>886</v>
      </c>
      <c r="F388" s="37" t="s">
        <v>174</v>
      </c>
      <c r="G388" s="37" t="s">
        <v>181</v>
      </c>
      <c r="H388" s="33" t="s">
        <v>26</v>
      </c>
      <c r="I388" s="33">
        <v>120000</v>
      </c>
      <c r="J388" s="33">
        <v>2751</v>
      </c>
      <c r="K388" s="37">
        <v>52.4</v>
      </c>
      <c r="L388" s="37" t="s">
        <v>19</v>
      </c>
      <c r="M388" s="33">
        <v>38177</v>
      </c>
    </row>
    <row r="389" spans="1:13" s="33" customFormat="1" ht="15">
      <c r="A389" s="33">
        <v>1959</v>
      </c>
      <c r="B389" s="33" t="s">
        <v>884</v>
      </c>
      <c r="C389" s="33" t="s">
        <v>887</v>
      </c>
      <c r="D389" s="33">
        <v>90</v>
      </c>
      <c r="E389" s="33" t="s">
        <v>888</v>
      </c>
      <c r="F389" s="37" t="s">
        <v>174</v>
      </c>
      <c r="G389" s="37" t="s">
        <v>181</v>
      </c>
      <c r="H389" s="33" t="s">
        <v>26</v>
      </c>
      <c r="I389" s="33">
        <v>180000</v>
      </c>
      <c r="J389" s="33">
        <v>12913</v>
      </c>
      <c r="K389" s="37">
        <v>58.9</v>
      </c>
      <c r="L389" s="37" t="s">
        <v>19</v>
      </c>
      <c r="M389" s="33">
        <v>93713</v>
      </c>
    </row>
    <row r="390" spans="1:13" s="33" customFormat="1" ht="15">
      <c r="A390" s="33">
        <v>1965</v>
      </c>
      <c r="B390" s="33" t="s">
        <v>884</v>
      </c>
      <c r="C390" s="33" t="s">
        <v>238</v>
      </c>
      <c r="D390" s="33">
        <v>82</v>
      </c>
      <c r="E390" s="33" t="s">
        <v>889</v>
      </c>
      <c r="F390" s="37" t="s">
        <v>174</v>
      </c>
      <c r="G390" s="37" t="s">
        <v>181</v>
      </c>
      <c r="H390" s="33" t="s">
        <v>26</v>
      </c>
      <c r="I390" s="33">
        <v>150000</v>
      </c>
      <c r="J390" s="33">
        <v>11197</v>
      </c>
      <c r="K390" s="37">
        <v>55.1</v>
      </c>
      <c r="L390" s="37" t="s">
        <v>19</v>
      </c>
      <c r="M390" s="33">
        <v>60529</v>
      </c>
    </row>
    <row r="391" spans="1:13" s="33" customFormat="1" ht="15">
      <c r="A391" s="33">
        <v>1997</v>
      </c>
      <c r="B391" s="33" t="s">
        <v>884</v>
      </c>
      <c r="C391" s="33" t="s">
        <v>890</v>
      </c>
      <c r="D391" s="33">
        <v>191</v>
      </c>
      <c r="E391" s="33" t="s">
        <v>891</v>
      </c>
      <c r="F391" s="37" t="s">
        <v>174</v>
      </c>
      <c r="G391" s="37" t="s">
        <v>1142</v>
      </c>
      <c r="H391" s="33" t="s">
        <v>892</v>
      </c>
      <c r="I391" s="33">
        <v>164684</v>
      </c>
      <c r="J391" s="33">
        <v>12021</v>
      </c>
      <c r="K391" s="37">
        <v>58.3</v>
      </c>
      <c r="L391" s="37" t="s">
        <v>19</v>
      </c>
      <c r="M391" s="33">
        <v>146982</v>
      </c>
    </row>
    <row r="392" spans="1:13" s="33" customFormat="1" ht="15">
      <c r="A392" s="33">
        <v>1999</v>
      </c>
      <c r="B392" s="33" t="s">
        <v>884</v>
      </c>
      <c r="C392" s="33" t="s">
        <v>893</v>
      </c>
      <c r="D392" s="33">
        <v>232</v>
      </c>
      <c r="E392" s="33" t="s">
        <v>891</v>
      </c>
      <c r="F392" s="37" t="s">
        <v>174</v>
      </c>
      <c r="G392" s="37" t="s">
        <v>1143</v>
      </c>
      <c r="H392" s="33" t="s">
        <v>883</v>
      </c>
      <c r="I392" s="33">
        <v>187436</v>
      </c>
      <c r="J392" s="33">
        <v>8421</v>
      </c>
      <c r="K392" s="37">
        <v>55.6</v>
      </c>
      <c r="L392" s="37" t="s">
        <v>19</v>
      </c>
      <c r="M392" s="33">
        <v>132774</v>
      </c>
    </row>
    <row r="393" spans="1:13" s="33" customFormat="1" ht="15">
      <c r="A393" s="33">
        <v>1999</v>
      </c>
      <c r="B393" s="33" t="s">
        <v>884</v>
      </c>
      <c r="C393" s="33" t="s">
        <v>894</v>
      </c>
      <c r="D393" s="33">
        <v>147</v>
      </c>
      <c r="E393" s="33" t="s">
        <v>891</v>
      </c>
      <c r="F393" s="37" t="s">
        <v>174</v>
      </c>
      <c r="G393" s="37" t="s">
        <v>1143</v>
      </c>
      <c r="H393" s="33" t="s">
        <v>883</v>
      </c>
      <c r="I393" s="33">
        <v>176592</v>
      </c>
      <c r="J393" s="33">
        <v>9633</v>
      </c>
      <c r="K393" s="37">
        <v>57.1</v>
      </c>
      <c r="L393" s="37" t="s">
        <v>19</v>
      </c>
      <c r="M393" s="33">
        <v>128540</v>
      </c>
    </row>
    <row r="394" spans="1:13" s="33" customFormat="1" ht="15">
      <c r="A394" s="33">
        <v>2004</v>
      </c>
      <c r="B394" s="33" t="s">
        <v>884</v>
      </c>
      <c r="C394" s="33" t="s">
        <v>895</v>
      </c>
      <c r="D394" s="33">
        <v>70</v>
      </c>
      <c r="E394" s="33" t="s">
        <v>891</v>
      </c>
      <c r="F394" s="37" t="s">
        <v>174</v>
      </c>
      <c r="G394" s="37" t="s">
        <v>1142</v>
      </c>
      <c r="H394" s="33" t="s">
        <v>892</v>
      </c>
      <c r="I394" s="33">
        <v>208405</v>
      </c>
      <c r="J394" s="33">
        <v>10124</v>
      </c>
      <c r="K394" s="37">
        <v>56.9</v>
      </c>
      <c r="L394" s="37" t="s">
        <v>19</v>
      </c>
      <c r="M394" s="33">
        <v>141680</v>
      </c>
    </row>
    <row r="395" spans="1:13" s="33" customFormat="1" ht="15">
      <c r="A395" s="33">
        <v>2005</v>
      </c>
      <c r="B395" s="33" t="s">
        <v>884</v>
      </c>
      <c r="C395" s="33" t="s">
        <v>896</v>
      </c>
      <c r="D395" s="33">
        <v>15</v>
      </c>
      <c r="E395" s="33" t="s">
        <v>891</v>
      </c>
      <c r="F395" s="37" t="s">
        <v>174</v>
      </c>
      <c r="G395" s="37" t="s">
        <v>1143</v>
      </c>
      <c r="H395" s="33" t="s">
        <v>883</v>
      </c>
      <c r="I395" s="33">
        <v>193346</v>
      </c>
      <c r="J395" s="33">
        <v>18764</v>
      </c>
      <c r="K395" s="37">
        <v>59.8</v>
      </c>
      <c r="L395" s="37" t="s">
        <v>19</v>
      </c>
      <c r="M395" s="33">
        <v>147031</v>
      </c>
    </row>
    <row r="396" spans="1:13" s="33" customFormat="1" ht="15">
      <c r="A396" s="33">
        <v>2006</v>
      </c>
      <c r="B396" s="33" t="s">
        <v>884</v>
      </c>
      <c r="C396" s="33" t="s">
        <v>897</v>
      </c>
      <c r="D396" s="33">
        <v>143</v>
      </c>
      <c r="E396" s="33" t="s">
        <v>891</v>
      </c>
      <c r="F396" s="37" t="s">
        <v>174</v>
      </c>
      <c r="G396" s="37" t="s">
        <v>1143</v>
      </c>
      <c r="H396" s="33" t="s">
        <v>883</v>
      </c>
      <c r="I396" s="33">
        <v>132358</v>
      </c>
      <c r="J396" s="33">
        <v>15329</v>
      </c>
      <c r="K396" s="37">
        <v>56.2</v>
      </c>
      <c r="L396" s="37" t="s">
        <v>19</v>
      </c>
      <c r="M396" s="33">
        <v>90897</v>
      </c>
    </row>
    <row r="397" spans="1:13" s="33" customFormat="1" ht="15">
      <c r="A397" s="33">
        <v>2014</v>
      </c>
      <c r="B397" s="33" t="s">
        <v>884</v>
      </c>
      <c r="C397" s="33" t="s">
        <v>898</v>
      </c>
      <c r="D397" s="33">
        <v>227</v>
      </c>
      <c r="E397" s="33" t="s">
        <v>899</v>
      </c>
      <c r="F397" s="37" t="s">
        <v>174</v>
      </c>
      <c r="G397" s="37" t="s">
        <v>1142</v>
      </c>
      <c r="H397" s="33" t="s">
        <v>892</v>
      </c>
      <c r="I397" s="33">
        <v>214359</v>
      </c>
      <c r="J397" s="33">
        <v>12456</v>
      </c>
      <c r="K397" s="37">
        <v>57.3</v>
      </c>
      <c r="L397" s="37" t="s">
        <v>19</v>
      </c>
      <c r="M397" s="33">
        <v>154982</v>
      </c>
    </row>
    <row r="398" spans="1:13" s="33" customFormat="1" ht="15">
      <c r="A398" s="33">
        <v>2015</v>
      </c>
      <c r="B398" s="33" t="s">
        <v>884</v>
      </c>
      <c r="C398" s="33" t="s">
        <v>900</v>
      </c>
      <c r="D398" s="33">
        <v>98</v>
      </c>
      <c r="E398" s="33" t="s">
        <v>901</v>
      </c>
      <c r="F398" s="37" t="s">
        <v>174</v>
      </c>
      <c r="G398" s="37" t="s">
        <v>1142</v>
      </c>
      <c r="H398" s="33" t="s">
        <v>892</v>
      </c>
      <c r="I398" s="33">
        <v>208214</v>
      </c>
      <c r="J398" s="33">
        <v>25418</v>
      </c>
      <c r="K398" s="37">
        <v>64.099999999999994</v>
      </c>
      <c r="L398" s="37" t="s">
        <v>19</v>
      </c>
      <c r="M398" s="33">
        <v>154389</v>
      </c>
    </row>
    <row r="399" spans="1:13" s="33" customFormat="1" ht="15">
      <c r="A399" s="33">
        <v>2016</v>
      </c>
      <c r="B399" s="33" t="s">
        <v>884</v>
      </c>
      <c r="C399" s="33" t="s">
        <v>902</v>
      </c>
      <c r="D399" s="33">
        <v>134</v>
      </c>
      <c r="E399" s="33" t="s">
        <v>903</v>
      </c>
      <c r="F399" s="37" t="s">
        <v>174</v>
      </c>
      <c r="G399" s="37" t="s">
        <v>1143</v>
      </c>
      <c r="H399" s="33" t="s">
        <v>883</v>
      </c>
      <c r="I399" s="33">
        <v>182721</v>
      </c>
      <c r="J399" s="33">
        <v>3174</v>
      </c>
      <c r="K399" s="37">
        <v>50.9</v>
      </c>
      <c r="L399" s="37" t="s">
        <v>19</v>
      </c>
      <c r="M399" s="33">
        <v>142118</v>
      </c>
    </row>
    <row r="400" spans="1:13" s="33" customFormat="1" ht="15">
      <c r="A400" s="33">
        <v>2016</v>
      </c>
      <c r="B400" s="33" t="s">
        <v>884</v>
      </c>
      <c r="C400" s="33" t="s">
        <v>904</v>
      </c>
      <c r="D400" s="33">
        <v>173</v>
      </c>
      <c r="E400" s="33" t="s">
        <v>905</v>
      </c>
      <c r="F400" s="37" t="s">
        <v>174</v>
      </c>
      <c r="G400" s="37" t="s">
        <v>1142</v>
      </c>
      <c r="H400" s="33" t="s">
        <v>892</v>
      </c>
      <c r="I400" s="33">
        <v>236421</v>
      </c>
      <c r="J400" s="33">
        <v>3941</v>
      </c>
      <c r="K400" s="37">
        <v>51.2</v>
      </c>
      <c r="L400" s="37" t="s">
        <v>19</v>
      </c>
      <c r="M400" s="33">
        <v>171006</v>
      </c>
    </row>
    <row r="401" spans="1:13" s="33" customFormat="1" ht="15">
      <c r="A401" s="33">
        <v>2017</v>
      </c>
      <c r="B401" s="33" t="s">
        <v>884</v>
      </c>
      <c r="C401" s="33" t="s">
        <v>906</v>
      </c>
      <c r="D401" s="33">
        <v>171</v>
      </c>
      <c r="E401" s="33" t="s">
        <v>907</v>
      </c>
      <c r="F401" s="37" t="s">
        <v>174</v>
      </c>
      <c r="G401" s="37" t="s">
        <v>1144</v>
      </c>
      <c r="H401" s="33" t="s">
        <v>908</v>
      </c>
      <c r="I401" s="33">
        <v>260890</v>
      </c>
      <c r="J401" s="33">
        <v>40310</v>
      </c>
      <c r="K401" s="37">
        <v>59.2</v>
      </c>
      <c r="L401" s="37" t="s">
        <v>19</v>
      </c>
      <c r="M401" s="33">
        <v>201112</v>
      </c>
    </row>
    <row r="402" spans="1:13" s="33" customFormat="1" ht="15">
      <c r="A402" s="33">
        <v>2018</v>
      </c>
      <c r="B402" s="33" t="s">
        <v>884</v>
      </c>
      <c r="C402" s="33" t="s">
        <v>909</v>
      </c>
      <c r="D402" s="33">
        <v>19</v>
      </c>
      <c r="E402" s="33" t="s">
        <v>910</v>
      </c>
      <c r="F402" s="37" t="s">
        <v>174</v>
      </c>
      <c r="G402" s="37" t="s">
        <v>1142</v>
      </c>
      <c r="H402" s="33" t="s">
        <v>892</v>
      </c>
      <c r="I402" s="33">
        <v>214982</v>
      </c>
      <c r="J402" s="33">
        <v>28456</v>
      </c>
      <c r="K402" s="37">
        <v>61.4</v>
      </c>
      <c r="L402" s="37" t="s">
        <v>19</v>
      </c>
      <c r="M402" s="33">
        <v>163887</v>
      </c>
    </row>
    <row r="403" spans="1:13" s="33" customFormat="1" ht="15">
      <c r="A403" s="33">
        <v>2019</v>
      </c>
      <c r="B403" s="33" t="s">
        <v>884</v>
      </c>
      <c r="C403" s="33" t="s">
        <v>911</v>
      </c>
      <c r="D403" s="33">
        <v>213</v>
      </c>
      <c r="E403" s="33" t="s">
        <v>912</v>
      </c>
      <c r="F403" s="37" t="s">
        <v>174</v>
      </c>
      <c r="G403" s="37" t="s">
        <v>1142</v>
      </c>
      <c r="H403" s="33" t="s">
        <v>892</v>
      </c>
      <c r="I403" s="33">
        <v>209258</v>
      </c>
      <c r="J403" s="33">
        <v>28554</v>
      </c>
      <c r="K403" s="37">
        <v>44.3</v>
      </c>
      <c r="L403" s="37" t="s">
        <v>19</v>
      </c>
      <c r="M403" s="33">
        <v>158289</v>
      </c>
    </row>
    <row r="404" spans="1:13" s="33" customFormat="1" ht="15">
      <c r="A404" s="33">
        <v>2019</v>
      </c>
      <c r="B404" s="33" t="s">
        <v>884</v>
      </c>
      <c r="C404" s="33" t="s">
        <v>913</v>
      </c>
      <c r="D404" s="33">
        <v>187</v>
      </c>
      <c r="E404" s="33" t="s">
        <v>914</v>
      </c>
      <c r="F404" s="37" t="s">
        <v>174</v>
      </c>
      <c r="G404" s="37" t="s">
        <v>1142</v>
      </c>
      <c r="H404" s="33" t="s">
        <v>892</v>
      </c>
      <c r="I404" s="33">
        <v>264192</v>
      </c>
      <c r="J404" s="33">
        <v>8194</v>
      </c>
      <c r="K404" s="37">
        <v>43.7</v>
      </c>
      <c r="L404" s="37" t="s">
        <v>107</v>
      </c>
      <c r="M404" s="33">
        <v>195145</v>
      </c>
    </row>
    <row r="405" spans="1:13" s="33" customFormat="1" ht="15">
      <c r="A405" s="33">
        <v>2019</v>
      </c>
      <c r="B405" s="33" t="s">
        <v>884</v>
      </c>
      <c r="C405" s="33" t="s">
        <v>915</v>
      </c>
      <c r="D405" s="33">
        <v>55</v>
      </c>
      <c r="E405" s="33" t="s">
        <v>916</v>
      </c>
      <c r="F405" s="37" t="s">
        <v>174</v>
      </c>
      <c r="G405" s="37" t="s">
        <v>1143</v>
      </c>
      <c r="H405" s="33" t="s">
        <v>883</v>
      </c>
      <c r="I405" s="33">
        <v>327341</v>
      </c>
      <c r="J405" s="33">
        <v>23213</v>
      </c>
      <c r="K405" s="37">
        <v>51.3</v>
      </c>
      <c r="L405" s="37" t="s">
        <v>19</v>
      </c>
      <c r="M405" s="33">
        <v>224412</v>
      </c>
    </row>
    <row r="406" spans="1:13" s="33" customFormat="1" ht="15">
      <c r="A406" s="33">
        <v>2019</v>
      </c>
      <c r="B406" s="33" t="s">
        <v>884</v>
      </c>
      <c r="C406" s="33" t="s">
        <v>917</v>
      </c>
      <c r="D406" s="33">
        <v>61</v>
      </c>
      <c r="E406" s="33" t="s">
        <v>918</v>
      </c>
      <c r="F406" s="37" t="s">
        <v>174</v>
      </c>
      <c r="G406" s="37" t="s">
        <v>1142</v>
      </c>
      <c r="H406" s="33" t="s">
        <v>892</v>
      </c>
      <c r="I406" s="33">
        <v>236149</v>
      </c>
      <c r="J406" s="33">
        <v>9394</v>
      </c>
      <c r="K406" s="37">
        <v>45.6</v>
      </c>
      <c r="L406" s="37" t="s">
        <v>107</v>
      </c>
      <c r="M406" s="33">
        <v>194367</v>
      </c>
    </row>
    <row r="407" spans="1:13" s="33" customFormat="1" ht="15">
      <c r="A407" s="33">
        <v>2019</v>
      </c>
      <c r="B407" s="33" t="s">
        <v>884</v>
      </c>
      <c r="C407" s="33" t="s">
        <v>919</v>
      </c>
      <c r="D407" s="33">
        <v>46</v>
      </c>
      <c r="E407" s="33" t="s">
        <v>920</v>
      </c>
      <c r="F407" s="37" t="s">
        <v>174</v>
      </c>
      <c r="G407" s="37" t="s">
        <v>1143</v>
      </c>
      <c r="H407" s="33" t="s">
        <v>883</v>
      </c>
      <c r="I407" s="33">
        <v>271117</v>
      </c>
      <c r="J407" s="33">
        <v>27841</v>
      </c>
      <c r="K407" s="37">
        <v>52.79</v>
      </c>
      <c r="L407" s="37" t="s">
        <v>107</v>
      </c>
      <c r="M407" s="33">
        <v>201080</v>
      </c>
    </row>
    <row r="408" spans="1:13" s="33" customFormat="1" ht="15">
      <c r="A408" s="33">
        <v>2019</v>
      </c>
      <c r="B408" s="33" t="s">
        <v>884</v>
      </c>
      <c r="C408" s="33" t="s">
        <v>921</v>
      </c>
      <c r="D408" s="33">
        <v>130</v>
      </c>
      <c r="E408" s="33" t="s">
        <v>922</v>
      </c>
      <c r="F408" s="37" t="s">
        <v>178</v>
      </c>
      <c r="G408" s="37" t="s">
        <v>1142</v>
      </c>
      <c r="H408" s="33" t="s">
        <v>892</v>
      </c>
      <c r="I408" s="33">
        <v>229625</v>
      </c>
      <c r="J408" s="33">
        <v>20675</v>
      </c>
      <c r="K408" s="37">
        <v>49.79</v>
      </c>
      <c r="L408" s="37" t="s">
        <v>107</v>
      </c>
      <c r="M408" s="33">
        <v>182750</v>
      </c>
    </row>
    <row r="409" spans="1:13" s="33" customFormat="1" ht="15">
      <c r="A409" s="33">
        <v>2019</v>
      </c>
      <c r="B409" s="33" t="s">
        <v>884</v>
      </c>
      <c r="C409" s="33" t="s">
        <v>900</v>
      </c>
      <c r="D409" s="33">
        <v>198</v>
      </c>
      <c r="E409" s="33" t="s">
        <v>923</v>
      </c>
      <c r="F409" s="37" t="s">
        <v>174</v>
      </c>
      <c r="G409" s="37" t="s">
        <v>1143</v>
      </c>
      <c r="H409" s="33" t="s">
        <v>883</v>
      </c>
      <c r="I409" s="33">
        <v>264521</v>
      </c>
      <c r="J409" s="33">
        <v>12323</v>
      </c>
      <c r="K409" s="37">
        <v>43.38</v>
      </c>
      <c r="L409" s="37" t="s">
        <v>19</v>
      </c>
      <c r="M409" s="33">
        <v>200837</v>
      </c>
    </row>
    <row r="410" spans="1:13" s="33" customFormat="1" ht="15">
      <c r="A410" s="33">
        <v>2019</v>
      </c>
      <c r="B410" s="33" t="s">
        <v>884</v>
      </c>
      <c r="C410" s="33" t="s">
        <v>924</v>
      </c>
      <c r="D410" s="33">
        <v>39</v>
      </c>
      <c r="E410" s="33" t="s">
        <v>925</v>
      </c>
      <c r="F410" s="37" t="s">
        <v>174</v>
      </c>
      <c r="G410" s="37" t="s">
        <v>1142</v>
      </c>
      <c r="H410" s="33" t="s">
        <v>892</v>
      </c>
      <c r="I410" s="33">
        <v>262085</v>
      </c>
      <c r="J410" s="33">
        <v>16056</v>
      </c>
      <c r="K410" s="37">
        <v>48.46</v>
      </c>
      <c r="L410" s="37" t="s">
        <v>19</v>
      </c>
      <c r="M410" s="33">
        <v>213609</v>
      </c>
    </row>
    <row r="411" spans="1:13" s="33" customFormat="1" ht="15">
      <c r="A411" s="33">
        <v>2019</v>
      </c>
      <c r="B411" s="33" t="s">
        <v>884</v>
      </c>
      <c r="C411" s="33" t="s">
        <v>926</v>
      </c>
      <c r="D411" s="33">
        <v>199</v>
      </c>
      <c r="E411" s="33" t="s">
        <v>927</v>
      </c>
      <c r="F411" s="37" t="s">
        <v>174</v>
      </c>
      <c r="G411" s="37" t="s">
        <v>1143</v>
      </c>
      <c r="H411" s="33" t="s">
        <v>883</v>
      </c>
      <c r="I411" s="33">
        <v>269517</v>
      </c>
      <c r="J411" s="33">
        <v>20320</v>
      </c>
      <c r="K411" s="37">
        <v>44.95</v>
      </c>
      <c r="L411" s="37" t="s">
        <v>107</v>
      </c>
      <c r="M411" s="33">
        <v>196622</v>
      </c>
    </row>
    <row r="412" spans="1:13" s="33" customFormat="1" ht="15">
      <c r="A412" s="33">
        <v>2019</v>
      </c>
      <c r="B412" s="33" t="s">
        <v>884</v>
      </c>
      <c r="C412" s="33" t="s">
        <v>928</v>
      </c>
      <c r="D412" s="33">
        <v>116</v>
      </c>
      <c r="E412" s="33" t="s">
        <v>929</v>
      </c>
      <c r="F412" s="37" t="s">
        <v>174</v>
      </c>
      <c r="G412" s="37" t="s">
        <v>1142</v>
      </c>
      <c r="H412" s="33" t="s">
        <v>892</v>
      </c>
      <c r="I412" s="33">
        <v>295234</v>
      </c>
      <c r="J412" s="33">
        <v>10113</v>
      </c>
      <c r="K412" s="37">
        <v>44.79</v>
      </c>
      <c r="L412" s="37" t="s">
        <v>19</v>
      </c>
      <c r="M412" s="33">
        <v>225058</v>
      </c>
    </row>
    <row r="413" spans="1:13" s="33" customFormat="1" ht="15">
      <c r="A413" s="33">
        <v>2019</v>
      </c>
      <c r="B413" s="33" t="s">
        <v>884</v>
      </c>
      <c r="C413" s="33" t="s">
        <v>930</v>
      </c>
      <c r="D413" s="33">
        <v>12</v>
      </c>
      <c r="E413" s="33" t="s">
        <v>931</v>
      </c>
      <c r="F413" s="37" t="s">
        <v>174</v>
      </c>
      <c r="G413" s="37" t="s">
        <v>1143</v>
      </c>
      <c r="H413" s="33" t="s">
        <v>883</v>
      </c>
      <c r="I413" s="33">
        <v>293656</v>
      </c>
      <c r="J413" s="33">
        <v>68023</v>
      </c>
      <c r="K413" s="37">
        <v>57.05</v>
      </c>
      <c r="L413" s="37" t="s">
        <v>19</v>
      </c>
      <c r="M413" s="33">
        <v>186408</v>
      </c>
    </row>
    <row r="414" spans="1:13" s="33" customFormat="1" ht="15">
      <c r="A414" s="33">
        <v>2019</v>
      </c>
      <c r="B414" s="33" t="s">
        <v>884</v>
      </c>
      <c r="C414" s="33" t="s">
        <v>932</v>
      </c>
      <c r="D414" s="33">
        <v>209</v>
      </c>
      <c r="E414" s="33" t="s">
        <v>933</v>
      </c>
      <c r="F414" s="37" t="s">
        <v>174</v>
      </c>
      <c r="G414" s="37" t="s">
        <v>1142</v>
      </c>
      <c r="H414" s="33" t="s">
        <v>892</v>
      </c>
      <c r="I414" s="33">
        <v>247172</v>
      </c>
      <c r="J414" s="33">
        <v>14032</v>
      </c>
      <c r="K414" s="37">
        <v>46.86</v>
      </c>
      <c r="L414" s="37" t="s">
        <v>107</v>
      </c>
      <c r="M414" s="33">
        <v>175916</v>
      </c>
    </row>
    <row r="415" spans="1:13" s="33" customFormat="1" ht="15">
      <c r="A415" s="33">
        <v>2019</v>
      </c>
      <c r="B415" s="33" t="s">
        <v>884</v>
      </c>
      <c r="C415" s="33" t="s">
        <v>934</v>
      </c>
      <c r="D415" s="33">
        <v>174</v>
      </c>
      <c r="E415" s="33" t="s">
        <v>935</v>
      </c>
      <c r="F415" s="37" t="s">
        <v>174</v>
      </c>
      <c r="G415" s="37" t="s">
        <v>1143</v>
      </c>
      <c r="H415" s="33" t="s">
        <v>883</v>
      </c>
      <c r="I415" s="33">
        <v>277425</v>
      </c>
      <c r="J415" s="33">
        <v>33980</v>
      </c>
      <c r="K415" s="37">
        <v>47.63</v>
      </c>
      <c r="L415" s="37" t="s">
        <v>19</v>
      </c>
      <c r="M415" s="33">
        <v>186803</v>
      </c>
    </row>
    <row r="416" spans="1:13" s="33" customFormat="1" ht="15">
      <c r="A416" s="33">
        <v>2019</v>
      </c>
      <c r="B416" s="33" t="s">
        <v>884</v>
      </c>
      <c r="C416" s="33" t="s">
        <v>936</v>
      </c>
      <c r="D416" s="33">
        <v>168</v>
      </c>
      <c r="E416" s="33" t="s">
        <v>937</v>
      </c>
      <c r="F416" s="37" t="s">
        <v>174</v>
      </c>
      <c r="G416" s="37" t="s">
        <v>1143</v>
      </c>
      <c r="H416" s="33" t="s">
        <v>883</v>
      </c>
      <c r="I416" s="33">
        <v>269281</v>
      </c>
      <c r="J416" s="33">
        <v>64571</v>
      </c>
      <c r="K416" s="37">
        <v>57.39</v>
      </c>
      <c r="L416" s="37" t="s">
        <v>19</v>
      </c>
      <c r="M416" s="33">
        <v>204935</v>
      </c>
    </row>
    <row r="417" spans="1:13" s="33" customFormat="1" ht="15">
      <c r="A417" s="33">
        <v>2019</v>
      </c>
      <c r="B417" s="33" t="s">
        <v>884</v>
      </c>
      <c r="C417" s="33" t="s">
        <v>938</v>
      </c>
      <c r="D417" s="33">
        <v>227</v>
      </c>
      <c r="E417" s="33" t="s">
        <v>939</v>
      </c>
      <c r="F417" s="37" t="s">
        <v>174</v>
      </c>
      <c r="G417" s="37" t="s">
        <v>1142</v>
      </c>
      <c r="H417" s="33" t="s">
        <v>892</v>
      </c>
      <c r="I417" s="33">
        <v>257418</v>
      </c>
      <c r="J417" s="33">
        <v>33445</v>
      </c>
      <c r="K417" s="37">
        <v>56.25</v>
      </c>
      <c r="L417" s="37" t="s">
        <v>19</v>
      </c>
      <c r="M417" s="33">
        <v>169526</v>
      </c>
    </row>
    <row r="418" spans="1:13" s="33" customFormat="1" ht="15">
      <c r="A418" s="33">
        <v>2019</v>
      </c>
      <c r="B418" s="33" t="s">
        <v>884</v>
      </c>
      <c r="C418" s="33" t="s">
        <v>940</v>
      </c>
      <c r="D418" s="33">
        <v>33</v>
      </c>
      <c r="E418" s="33" t="s">
        <v>941</v>
      </c>
      <c r="F418" s="37" t="s">
        <v>174</v>
      </c>
      <c r="G418" s="37" t="s">
        <v>1143</v>
      </c>
      <c r="H418" s="33" t="s">
        <v>883</v>
      </c>
      <c r="I418" s="33">
        <v>270793</v>
      </c>
      <c r="J418" s="33">
        <v>21013</v>
      </c>
      <c r="K418" s="37">
        <v>48.03</v>
      </c>
      <c r="L418" s="37" t="s">
        <v>19</v>
      </c>
      <c r="M418" s="33">
        <v>214987</v>
      </c>
    </row>
    <row r="419" spans="1:13" s="33" customFormat="1" ht="15">
      <c r="A419" s="33">
        <v>2019</v>
      </c>
      <c r="B419" s="33" t="s">
        <v>884</v>
      </c>
      <c r="C419" s="33" t="s">
        <v>942</v>
      </c>
      <c r="D419" s="33">
        <v>5</v>
      </c>
      <c r="E419" s="33" t="s">
        <v>943</v>
      </c>
      <c r="F419" s="37" t="s">
        <v>174</v>
      </c>
      <c r="G419" s="37" t="s">
        <v>1143</v>
      </c>
      <c r="H419" s="33" t="s">
        <v>883</v>
      </c>
      <c r="I419" s="33">
        <v>332379</v>
      </c>
      <c r="J419" s="33">
        <v>60096</v>
      </c>
      <c r="K419" s="37">
        <v>54.12</v>
      </c>
      <c r="L419" s="37" t="s">
        <v>107</v>
      </c>
      <c r="M419" s="33">
        <v>252940</v>
      </c>
    </row>
    <row r="420" spans="1:13" s="33" customFormat="1" ht="15">
      <c r="A420" s="33">
        <v>2019</v>
      </c>
      <c r="B420" s="33" t="s">
        <v>884</v>
      </c>
      <c r="C420" s="33" t="s">
        <v>944</v>
      </c>
      <c r="D420" s="33">
        <v>204</v>
      </c>
      <c r="E420" s="33" t="s">
        <v>945</v>
      </c>
      <c r="F420" s="37" t="s">
        <v>174</v>
      </c>
      <c r="G420" s="37" t="s">
        <v>1142</v>
      </c>
      <c r="H420" s="33" t="s">
        <v>892</v>
      </c>
      <c r="I420" s="33">
        <v>237513</v>
      </c>
      <c r="J420" s="33">
        <v>456</v>
      </c>
      <c r="K420" s="37">
        <v>42.53</v>
      </c>
      <c r="L420" s="37" t="s">
        <v>19</v>
      </c>
      <c r="M420" s="33">
        <v>181083</v>
      </c>
    </row>
    <row r="421" spans="1:13" s="33" customFormat="1" ht="15">
      <c r="A421" s="33">
        <v>2023</v>
      </c>
      <c r="B421" s="33" t="s">
        <v>884</v>
      </c>
      <c r="C421" s="33" t="s">
        <v>946</v>
      </c>
      <c r="D421" s="33">
        <v>98</v>
      </c>
      <c r="E421" s="33" t="s">
        <v>947</v>
      </c>
      <c r="F421" s="37" t="s">
        <v>174</v>
      </c>
      <c r="G421" s="37" t="s">
        <v>181</v>
      </c>
      <c r="H421" s="33" t="s">
        <v>26</v>
      </c>
      <c r="I421" s="33">
        <v>227569</v>
      </c>
      <c r="J421" s="33">
        <v>66123</v>
      </c>
      <c r="K421" s="37">
        <v>66.8</v>
      </c>
      <c r="L421" s="37" t="s">
        <v>19</v>
      </c>
      <c r="M421" s="33">
        <v>154657</v>
      </c>
    </row>
    <row r="422" spans="1:13" s="33" customFormat="1" ht="15">
      <c r="A422" s="33">
        <v>2024</v>
      </c>
      <c r="B422" s="33" t="s">
        <v>884</v>
      </c>
      <c r="C422" s="33" t="s">
        <v>948</v>
      </c>
      <c r="D422" s="33">
        <v>75</v>
      </c>
      <c r="E422" s="33" t="s">
        <v>949</v>
      </c>
      <c r="F422" s="37" t="s">
        <v>174</v>
      </c>
      <c r="G422" s="37" t="s">
        <v>1143</v>
      </c>
      <c r="H422" s="33" t="s">
        <v>883</v>
      </c>
      <c r="I422" s="33">
        <v>260302</v>
      </c>
      <c r="J422" s="33">
        <v>67129</v>
      </c>
      <c r="K422" s="37">
        <v>59.1</v>
      </c>
      <c r="L422" s="37" t="s">
        <v>19</v>
      </c>
      <c r="M422" s="33">
        <v>198442</v>
      </c>
    </row>
    <row r="423" spans="1:13" s="33" customFormat="1" ht="15">
      <c r="A423" s="33">
        <v>2024</v>
      </c>
      <c r="B423" s="33" t="s">
        <v>884</v>
      </c>
      <c r="C423" s="33" t="s">
        <v>950</v>
      </c>
      <c r="D423" s="33">
        <v>233</v>
      </c>
      <c r="E423" s="33" t="s">
        <v>951</v>
      </c>
      <c r="F423" s="37" t="s">
        <v>178</v>
      </c>
      <c r="G423" s="37" t="s">
        <v>181</v>
      </c>
      <c r="H423" s="33" t="s">
        <v>26</v>
      </c>
      <c r="I423" s="33">
        <v>257121</v>
      </c>
      <c r="J423" s="33">
        <v>37192</v>
      </c>
      <c r="K423" s="37">
        <v>55.4</v>
      </c>
      <c r="L423" s="37" t="s">
        <v>19</v>
      </c>
      <c r="M423" s="33">
        <v>189345</v>
      </c>
    </row>
    <row r="424" spans="1:13" s="33" customFormat="1" ht="15">
      <c r="A424" s="33">
        <v>2025</v>
      </c>
      <c r="B424" s="33" t="s">
        <v>884</v>
      </c>
      <c r="C424" s="33" t="s">
        <v>946</v>
      </c>
      <c r="D424" s="33">
        <v>98</v>
      </c>
      <c r="E424" s="33" t="s">
        <v>952</v>
      </c>
      <c r="F424" s="37" t="s">
        <v>174</v>
      </c>
      <c r="G424" s="37" t="s">
        <v>1143</v>
      </c>
      <c r="H424" s="33" t="s">
        <v>883</v>
      </c>
      <c r="I424" s="33">
        <v>227569</v>
      </c>
      <c r="J424" s="33">
        <v>91558</v>
      </c>
      <c r="K424" s="37">
        <v>77.8</v>
      </c>
      <c r="L424" s="37" t="s">
        <v>19</v>
      </c>
      <c r="M424" s="33">
        <v>154908</v>
      </c>
    </row>
    <row r="425" spans="1:13" s="33" customFormat="1" ht="15">
      <c r="A425" s="33">
        <v>1952</v>
      </c>
      <c r="B425" s="33" t="s">
        <v>953</v>
      </c>
      <c r="C425" s="33" t="s">
        <v>954</v>
      </c>
      <c r="D425" s="33">
        <v>120</v>
      </c>
      <c r="E425" s="33" t="s">
        <v>533</v>
      </c>
      <c r="F425" s="37" t="s">
        <v>174</v>
      </c>
      <c r="G425" s="37" t="s">
        <v>181</v>
      </c>
      <c r="H425" s="33" t="s">
        <v>26</v>
      </c>
      <c r="I425" s="33">
        <v>89521</v>
      </c>
      <c r="J425" s="33">
        <v>3124</v>
      </c>
      <c r="K425" s="37">
        <v>53.2</v>
      </c>
      <c r="L425" s="37" t="s">
        <v>19</v>
      </c>
      <c r="M425" s="33">
        <v>42137</v>
      </c>
    </row>
    <row r="426" spans="1:13" s="33" customFormat="1" ht="15">
      <c r="A426" s="33">
        <v>1957</v>
      </c>
      <c r="B426" s="33" t="s">
        <v>953</v>
      </c>
      <c r="C426" s="33" t="s">
        <v>955</v>
      </c>
      <c r="D426" s="33">
        <v>94</v>
      </c>
      <c r="E426" s="33" t="s">
        <v>533</v>
      </c>
      <c r="F426" s="37" t="s">
        <v>174</v>
      </c>
      <c r="G426" s="37" t="s">
        <v>181</v>
      </c>
      <c r="H426" s="33" t="s">
        <v>26</v>
      </c>
      <c r="I426" s="33">
        <v>96418</v>
      </c>
      <c r="J426" s="33">
        <v>5189</v>
      </c>
      <c r="K426" s="37">
        <v>56.1</v>
      </c>
      <c r="L426" s="37" t="s">
        <v>19</v>
      </c>
      <c r="M426" s="33">
        <v>50211</v>
      </c>
    </row>
    <row r="427" spans="1:13" s="33" customFormat="1" ht="15">
      <c r="A427" s="33">
        <v>1962</v>
      </c>
      <c r="B427" s="33" t="s">
        <v>953</v>
      </c>
      <c r="C427" s="33" t="s">
        <v>956</v>
      </c>
      <c r="D427" s="33">
        <v>64</v>
      </c>
      <c r="E427" s="33" t="s">
        <v>533</v>
      </c>
      <c r="F427" s="37" t="s">
        <v>174</v>
      </c>
      <c r="G427" s="37" t="s">
        <v>181</v>
      </c>
      <c r="H427" s="33" t="s">
        <v>26</v>
      </c>
      <c r="I427" s="33">
        <v>88235</v>
      </c>
      <c r="J427" s="33">
        <v>4367</v>
      </c>
      <c r="K427" s="37">
        <v>54.8</v>
      </c>
      <c r="L427" s="37" t="s">
        <v>22</v>
      </c>
      <c r="M427" s="33">
        <v>46192</v>
      </c>
    </row>
    <row r="428" spans="1:13" s="33" customFormat="1" ht="15">
      <c r="A428" s="33">
        <v>1967</v>
      </c>
      <c r="B428" s="33" t="s">
        <v>953</v>
      </c>
      <c r="C428" s="33" t="s">
        <v>957</v>
      </c>
      <c r="D428" s="33">
        <v>120</v>
      </c>
      <c r="E428" s="33" t="s">
        <v>533</v>
      </c>
      <c r="F428" s="37" t="s">
        <v>174</v>
      </c>
      <c r="G428" s="37" t="s">
        <v>181</v>
      </c>
      <c r="H428" s="33" t="s">
        <v>26</v>
      </c>
      <c r="I428" s="33">
        <v>103214</v>
      </c>
      <c r="J428" s="33">
        <v>6821</v>
      </c>
      <c r="K428" s="37">
        <v>57.4</v>
      </c>
      <c r="L428" s="37" t="s">
        <v>19</v>
      </c>
      <c r="M428" s="33">
        <v>58347</v>
      </c>
    </row>
    <row r="429" spans="1:13" s="33" customFormat="1" ht="15">
      <c r="A429" s="33">
        <v>1997</v>
      </c>
      <c r="B429" s="33" t="s">
        <v>953</v>
      </c>
      <c r="C429" s="33" t="s">
        <v>955</v>
      </c>
      <c r="D429" s="33">
        <v>94</v>
      </c>
      <c r="E429" s="33" t="s">
        <v>533</v>
      </c>
      <c r="F429" s="37" t="s">
        <v>174</v>
      </c>
      <c r="G429" s="37" t="s">
        <v>181</v>
      </c>
      <c r="H429" s="33" t="s">
        <v>26</v>
      </c>
      <c r="I429" s="33">
        <v>168214</v>
      </c>
      <c r="J429" s="33">
        <v>11234</v>
      </c>
      <c r="K429" s="37">
        <v>54.2</v>
      </c>
      <c r="L429" s="37" t="s">
        <v>19</v>
      </c>
      <c r="M429" s="33">
        <v>98341</v>
      </c>
    </row>
    <row r="430" spans="1:13" s="33" customFormat="1" ht="15">
      <c r="A430" s="33">
        <v>1997</v>
      </c>
      <c r="B430" s="33" t="s">
        <v>953</v>
      </c>
      <c r="C430" s="33" t="s">
        <v>956</v>
      </c>
      <c r="D430" s="33">
        <v>64</v>
      </c>
      <c r="E430" s="33" t="s">
        <v>533</v>
      </c>
      <c r="F430" s="37" t="s">
        <v>174</v>
      </c>
      <c r="G430" s="37" t="s">
        <v>181</v>
      </c>
      <c r="H430" s="33" t="s">
        <v>26</v>
      </c>
      <c r="I430" s="33">
        <v>152987</v>
      </c>
      <c r="J430" s="33">
        <v>8456</v>
      </c>
      <c r="K430" s="37">
        <v>52.8</v>
      </c>
      <c r="L430" s="37" t="s">
        <v>22</v>
      </c>
      <c r="M430" s="33">
        <v>86432</v>
      </c>
    </row>
    <row r="431" spans="1:13" s="33" customFormat="1" ht="15">
      <c r="A431" s="33">
        <v>1997</v>
      </c>
      <c r="B431" s="33" t="s">
        <v>953</v>
      </c>
      <c r="C431" s="33" t="s">
        <v>957</v>
      </c>
      <c r="D431" s="33">
        <v>120</v>
      </c>
      <c r="E431" s="33" t="s">
        <v>533</v>
      </c>
      <c r="F431" s="37" t="s">
        <v>174</v>
      </c>
      <c r="G431" s="37" t="s">
        <v>181</v>
      </c>
      <c r="H431" s="33" t="s">
        <v>26</v>
      </c>
      <c r="I431" s="33">
        <v>174521</v>
      </c>
      <c r="J431" s="33">
        <v>13455</v>
      </c>
      <c r="K431" s="37">
        <v>55.7</v>
      </c>
      <c r="L431" s="37" t="s">
        <v>19</v>
      </c>
      <c r="M431" s="33">
        <v>102345</v>
      </c>
    </row>
    <row r="432" spans="1:13" s="33" customFormat="1" ht="15">
      <c r="A432" s="33">
        <v>2018</v>
      </c>
      <c r="B432" s="33" t="s">
        <v>953</v>
      </c>
      <c r="C432" s="33" t="s">
        <v>958</v>
      </c>
      <c r="D432" s="33">
        <v>2</v>
      </c>
      <c r="E432" s="33" t="s">
        <v>959</v>
      </c>
      <c r="F432" s="37" t="s">
        <v>174</v>
      </c>
      <c r="G432" s="37" t="s">
        <v>1145</v>
      </c>
      <c r="H432" s="33" t="s">
        <v>960</v>
      </c>
      <c r="I432" s="33">
        <v>232329</v>
      </c>
      <c r="J432" s="33">
        <v>57814</v>
      </c>
      <c r="K432" s="37">
        <v>76.7</v>
      </c>
      <c r="L432" s="37" t="s">
        <v>19</v>
      </c>
      <c r="M432" s="33">
        <v>157363</v>
      </c>
    </row>
    <row r="433" spans="1:13" s="33" customFormat="1" ht="15">
      <c r="A433" s="33">
        <v>2019</v>
      </c>
      <c r="B433" s="33" t="s">
        <v>953</v>
      </c>
      <c r="C433" s="33" t="s">
        <v>961</v>
      </c>
      <c r="D433" s="33">
        <v>30</v>
      </c>
      <c r="E433" s="33" t="s">
        <v>962</v>
      </c>
      <c r="F433" s="37" t="s">
        <v>178</v>
      </c>
      <c r="G433" s="37" t="s">
        <v>502</v>
      </c>
      <c r="H433" s="33" t="s">
        <v>39</v>
      </c>
      <c r="I433" s="33">
        <v>221212</v>
      </c>
      <c r="J433" s="33">
        <v>11733</v>
      </c>
      <c r="K433" s="37">
        <v>50.9</v>
      </c>
      <c r="L433" s="37" t="s">
        <v>19</v>
      </c>
      <c r="M433" s="33">
        <v>148902</v>
      </c>
    </row>
    <row r="434" spans="1:13" s="33" customFormat="1" ht="15">
      <c r="A434" s="33">
        <v>2021</v>
      </c>
      <c r="B434" s="33" t="s">
        <v>953</v>
      </c>
      <c r="C434" s="33" t="s">
        <v>963</v>
      </c>
      <c r="D434" s="33">
        <v>102</v>
      </c>
      <c r="E434" s="33" t="s">
        <v>964</v>
      </c>
      <c r="F434" s="37" t="s">
        <v>174</v>
      </c>
      <c r="G434" s="37" t="s">
        <v>1145</v>
      </c>
      <c r="H434" s="33" t="s">
        <v>960</v>
      </c>
      <c r="I434" s="33">
        <v>215326</v>
      </c>
      <c r="J434" s="33">
        <v>58193</v>
      </c>
      <c r="K434" s="37">
        <v>67.400000000000006</v>
      </c>
      <c r="L434" s="37" t="s">
        <v>107</v>
      </c>
      <c r="M434" s="33">
        <v>158962</v>
      </c>
    </row>
    <row r="435" spans="1:13" s="33" customFormat="1" ht="15">
      <c r="A435" s="33">
        <v>2021</v>
      </c>
      <c r="B435" s="33" t="s">
        <v>953</v>
      </c>
      <c r="C435" s="33" t="s">
        <v>965</v>
      </c>
      <c r="D435" s="33">
        <v>110</v>
      </c>
      <c r="E435" s="33" t="s">
        <v>966</v>
      </c>
      <c r="F435" s="37" t="s">
        <v>174</v>
      </c>
      <c r="G435" s="37" t="s">
        <v>1145</v>
      </c>
      <c r="H435" s="33" t="s">
        <v>960</v>
      </c>
      <c r="I435" s="33">
        <v>225778</v>
      </c>
      <c r="J435" s="33">
        <v>20806</v>
      </c>
      <c r="K435" s="37">
        <v>55.2</v>
      </c>
      <c r="L435" s="37" t="s">
        <v>19</v>
      </c>
      <c r="M435" s="33">
        <v>164204</v>
      </c>
    </row>
    <row r="436" spans="1:13" s="33" customFormat="1" ht="15">
      <c r="A436" s="33">
        <v>2022</v>
      </c>
      <c r="B436" s="33" t="s">
        <v>953</v>
      </c>
      <c r="C436" s="33" t="s">
        <v>967</v>
      </c>
      <c r="D436" s="33">
        <v>46</v>
      </c>
      <c r="E436" s="33" t="s">
        <v>968</v>
      </c>
      <c r="F436" s="37" t="s">
        <v>174</v>
      </c>
      <c r="G436" s="37" t="s">
        <v>502</v>
      </c>
      <c r="H436" s="33" t="s">
        <v>39</v>
      </c>
      <c r="I436" s="33">
        <v>227988</v>
      </c>
      <c r="J436" s="33">
        <v>9255</v>
      </c>
      <c r="K436" s="37">
        <v>50.1</v>
      </c>
      <c r="L436" s="37" t="s">
        <v>107</v>
      </c>
      <c r="M436" s="33">
        <v>173461</v>
      </c>
    </row>
    <row r="437" spans="1:13" s="33" customFormat="1" ht="15">
      <c r="A437" s="33">
        <v>2022</v>
      </c>
      <c r="B437" s="33" t="s">
        <v>953</v>
      </c>
      <c r="C437" s="33" t="s">
        <v>969</v>
      </c>
      <c r="D437" s="33">
        <v>6</v>
      </c>
      <c r="E437" s="33" t="s">
        <v>970</v>
      </c>
      <c r="F437" s="37" t="s">
        <v>178</v>
      </c>
      <c r="G437" s="37" t="s">
        <v>1145</v>
      </c>
      <c r="H437" s="33" t="s">
        <v>960</v>
      </c>
      <c r="I437" s="33">
        <v>217600</v>
      </c>
      <c r="J437" s="33">
        <v>48461</v>
      </c>
      <c r="K437" s="37">
        <v>66.3</v>
      </c>
      <c r="L437" s="37" t="s">
        <v>19</v>
      </c>
      <c r="M437" s="33">
        <v>146781</v>
      </c>
    </row>
    <row r="438" spans="1:13" s="33" customFormat="1" ht="15">
      <c r="A438" s="33">
        <v>2023</v>
      </c>
      <c r="B438" s="33" t="s">
        <v>953</v>
      </c>
      <c r="C438" s="33" t="s">
        <v>971</v>
      </c>
      <c r="D438" s="33">
        <v>7</v>
      </c>
      <c r="E438" s="33" t="s">
        <v>972</v>
      </c>
      <c r="F438" s="37" t="s">
        <v>178</v>
      </c>
      <c r="G438" s="37" t="s">
        <v>1145</v>
      </c>
      <c r="H438" s="33" t="s">
        <v>960</v>
      </c>
      <c r="I438" s="33">
        <v>253876</v>
      </c>
      <c r="J438" s="33">
        <v>48199</v>
      </c>
      <c r="K438" s="37">
        <v>65.8</v>
      </c>
      <c r="L438" s="37" t="s">
        <v>19</v>
      </c>
      <c r="M438" s="33">
        <v>167042</v>
      </c>
    </row>
    <row r="439" spans="1:13" s="33" customFormat="1" ht="15">
      <c r="A439" s="34">
        <v>1952</v>
      </c>
      <c r="B439" s="34" t="s">
        <v>973</v>
      </c>
      <c r="C439" s="34" t="s">
        <v>974</v>
      </c>
      <c r="D439" s="34">
        <v>157</v>
      </c>
      <c r="E439" s="34" t="s">
        <v>975</v>
      </c>
      <c r="F439" s="37" t="s">
        <v>174</v>
      </c>
      <c r="G439" s="37" t="s">
        <v>181</v>
      </c>
      <c r="H439" s="34" t="s">
        <v>976</v>
      </c>
      <c r="I439" s="34">
        <v>267890</v>
      </c>
      <c r="J439" s="34">
        <v>18233</v>
      </c>
      <c r="K439" s="37">
        <v>52.06</v>
      </c>
      <c r="L439" s="37" t="s">
        <v>19</v>
      </c>
      <c r="M439" s="34">
        <v>165432</v>
      </c>
    </row>
    <row r="440" spans="1:13" s="33" customFormat="1" ht="15">
      <c r="A440" s="34">
        <v>1957</v>
      </c>
      <c r="B440" s="34" t="s">
        <v>973</v>
      </c>
      <c r="C440" s="34" t="s">
        <v>977</v>
      </c>
      <c r="D440" s="34">
        <v>29</v>
      </c>
      <c r="E440" s="34" t="s">
        <v>978</v>
      </c>
      <c r="F440" s="37" t="s">
        <v>174</v>
      </c>
      <c r="G440" s="37" t="s">
        <v>181</v>
      </c>
      <c r="H440" s="34" t="s">
        <v>976</v>
      </c>
      <c r="I440" s="34">
        <v>245678</v>
      </c>
      <c r="J440" s="34">
        <v>17111</v>
      </c>
      <c r="K440" s="37">
        <v>51.8</v>
      </c>
      <c r="L440" s="37" t="s">
        <v>19</v>
      </c>
      <c r="M440" s="34">
        <v>151234</v>
      </c>
    </row>
    <row r="441" spans="1:13" s="33" customFormat="1" ht="15">
      <c r="A441" s="34">
        <v>1962</v>
      </c>
      <c r="B441" s="34" t="s">
        <v>973</v>
      </c>
      <c r="C441" s="34" t="s">
        <v>979</v>
      </c>
      <c r="D441" s="34">
        <v>44</v>
      </c>
      <c r="E441" s="34" t="s">
        <v>980</v>
      </c>
      <c r="F441" s="37" t="s">
        <v>174</v>
      </c>
      <c r="G441" s="37" t="s">
        <v>181</v>
      </c>
      <c r="H441" s="34" t="s">
        <v>976</v>
      </c>
      <c r="I441" s="34">
        <v>289012</v>
      </c>
      <c r="J441" s="34">
        <v>20889</v>
      </c>
      <c r="K441" s="37">
        <v>51.68</v>
      </c>
      <c r="L441" s="37" t="s">
        <v>19</v>
      </c>
      <c r="M441" s="34">
        <v>178234</v>
      </c>
    </row>
    <row r="442" spans="1:13">
      <c r="A442" s="34">
        <v>1967</v>
      </c>
      <c r="B442" s="34" t="s">
        <v>973</v>
      </c>
      <c r="C442" s="34" t="s">
        <v>981</v>
      </c>
      <c r="D442" s="34">
        <v>17</v>
      </c>
      <c r="E442" s="34" t="s">
        <v>982</v>
      </c>
      <c r="F442" s="37" t="s">
        <v>174</v>
      </c>
      <c r="G442" s="37" t="s">
        <v>983</v>
      </c>
      <c r="H442" s="34" t="s">
        <v>984</v>
      </c>
      <c r="I442" s="34">
        <v>234567</v>
      </c>
      <c r="J442" s="34">
        <v>14111</v>
      </c>
      <c r="K442" s="37">
        <v>51.72</v>
      </c>
      <c r="L442" s="37" t="s">
        <v>19</v>
      </c>
      <c r="M442" s="34">
        <v>145678</v>
      </c>
    </row>
    <row r="443" spans="1:13">
      <c r="A443" s="34">
        <v>1972</v>
      </c>
      <c r="B443" s="34" t="s">
        <v>973</v>
      </c>
      <c r="C443" s="34" t="s">
        <v>985</v>
      </c>
      <c r="D443" s="34">
        <v>164</v>
      </c>
      <c r="E443" s="34" t="s">
        <v>986</v>
      </c>
      <c r="F443" s="37" t="s">
        <v>174</v>
      </c>
      <c r="G443" s="37" t="s">
        <v>181</v>
      </c>
      <c r="H443" s="34" t="s">
        <v>976</v>
      </c>
      <c r="I443" s="34">
        <v>267890</v>
      </c>
      <c r="J443" s="34">
        <v>18233</v>
      </c>
      <c r="K443" s="37">
        <v>52.06</v>
      </c>
      <c r="L443" s="37" t="s">
        <v>19</v>
      </c>
      <c r="M443" s="34">
        <v>165432</v>
      </c>
    </row>
    <row r="444" spans="1:13">
      <c r="A444" s="34">
        <v>1977</v>
      </c>
      <c r="B444" s="34" t="s">
        <v>973</v>
      </c>
      <c r="C444" s="34" t="s">
        <v>974</v>
      </c>
      <c r="D444" s="34">
        <v>157</v>
      </c>
      <c r="E444" s="34" t="s">
        <v>987</v>
      </c>
      <c r="F444" s="37" t="s">
        <v>174</v>
      </c>
      <c r="G444" s="37" t="s">
        <v>745</v>
      </c>
      <c r="H444" s="34" t="s">
        <v>988</v>
      </c>
      <c r="I444" s="34">
        <v>298765</v>
      </c>
      <c r="J444" s="34">
        <v>21111</v>
      </c>
      <c r="K444" s="37">
        <v>51.55</v>
      </c>
      <c r="L444" s="37" t="s">
        <v>19</v>
      </c>
      <c r="M444" s="34">
        <v>183456</v>
      </c>
    </row>
    <row r="445" spans="1:13">
      <c r="A445" s="34">
        <v>1980</v>
      </c>
      <c r="B445" s="34" t="s">
        <v>973</v>
      </c>
      <c r="C445" s="34" t="s">
        <v>989</v>
      </c>
      <c r="D445" s="34">
        <v>61</v>
      </c>
      <c r="E445" s="34" t="s">
        <v>990</v>
      </c>
      <c r="F445" s="37" t="s">
        <v>174</v>
      </c>
      <c r="G445" s="37" t="s">
        <v>181</v>
      </c>
      <c r="H445" s="34" t="s">
        <v>26</v>
      </c>
      <c r="I445" s="34">
        <v>323456</v>
      </c>
      <c r="J445" s="34">
        <v>24222</v>
      </c>
      <c r="K445" s="37">
        <v>51.67</v>
      </c>
      <c r="L445" s="37" t="s">
        <v>19</v>
      </c>
      <c r="M445" s="34">
        <v>198234</v>
      </c>
    </row>
    <row r="446" spans="1:13">
      <c r="A446" s="34">
        <v>1985</v>
      </c>
      <c r="B446" s="34" t="s">
        <v>973</v>
      </c>
      <c r="C446" s="34" t="s">
        <v>991</v>
      </c>
      <c r="D446" s="34">
        <v>55</v>
      </c>
      <c r="E446" s="34" t="s">
        <v>992</v>
      </c>
      <c r="F446" s="37" t="s">
        <v>174</v>
      </c>
      <c r="G446" s="37" t="s">
        <v>181</v>
      </c>
      <c r="H446" s="34" t="s">
        <v>26</v>
      </c>
      <c r="I446" s="34">
        <v>278912</v>
      </c>
      <c r="J446" s="34">
        <v>19000</v>
      </c>
      <c r="K446" s="37">
        <v>51.72</v>
      </c>
      <c r="L446" s="37" t="s">
        <v>19</v>
      </c>
      <c r="M446" s="34">
        <v>172345</v>
      </c>
    </row>
    <row r="447" spans="1:13">
      <c r="A447" s="34">
        <v>1990</v>
      </c>
      <c r="B447" s="34" t="s">
        <v>973</v>
      </c>
      <c r="C447" s="34" t="s">
        <v>977</v>
      </c>
      <c r="D447" s="34">
        <v>29</v>
      </c>
      <c r="E447" s="34" t="s">
        <v>993</v>
      </c>
      <c r="F447" s="37" t="s">
        <v>174</v>
      </c>
      <c r="G447" s="37" t="s">
        <v>371</v>
      </c>
      <c r="H447" s="34" t="s">
        <v>372</v>
      </c>
      <c r="I447" s="34">
        <v>301234</v>
      </c>
      <c r="J447" s="34">
        <v>21667</v>
      </c>
      <c r="K447" s="37">
        <v>51.54</v>
      </c>
      <c r="L447" s="37" t="s">
        <v>19</v>
      </c>
      <c r="M447" s="34">
        <v>184567</v>
      </c>
    </row>
    <row r="448" spans="1:13">
      <c r="A448" s="34">
        <v>1993</v>
      </c>
      <c r="B448" s="34" t="s">
        <v>973</v>
      </c>
      <c r="C448" s="34" t="s">
        <v>974</v>
      </c>
      <c r="D448" s="34">
        <v>157</v>
      </c>
      <c r="E448" s="34" t="s">
        <v>994</v>
      </c>
      <c r="F448" s="37" t="s">
        <v>174</v>
      </c>
      <c r="G448" s="37" t="s">
        <v>181</v>
      </c>
      <c r="H448" s="34" t="s">
        <v>26</v>
      </c>
      <c r="I448" s="34">
        <v>356789</v>
      </c>
      <c r="J448" s="34">
        <v>25333</v>
      </c>
      <c r="K448" s="37">
        <v>51.82</v>
      </c>
      <c r="L448" s="37" t="s">
        <v>19</v>
      </c>
      <c r="M448" s="34">
        <v>218923</v>
      </c>
    </row>
    <row r="449" spans="1:13">
      <c r="A449" s="34">
        <v>1994</v>
      </c>
      <c r="B449" s="34" t="s">
        <v>973</v>
      </c>
      <c r="C449" s="34" t="s">
        <v>981</v>
      </c>
      <c r="D449" s="34">
        <v>17</v>
      </c>
      <c r="E449" s="34" t="s">
        <v>995</v>
      </c>
      <c r="F449" s="37" t="s">
        <v>174</v>
      </c>
      <c r="G449" s="37" t="s">
        <v>181</v>
      </c>
      <c r="H449" s="34" t="s">
        <v>26</v>
      </c>
      <c r="I449" s="34">
        <v>289012</v>
      </c>
      <c r="J449" s="34">
        <v>20889</v>
      </c>
      <c r="K449" s="37">
        <v>51.68</v>
      </c>
      <c r="L449" s="37" t="s">
        <v>19</v>
      </c>
      <c r="M449" s="34">
        <v>178234</v>
      </c>
    </row>
    <row r="450" spans="1:13">
      <c r="A450" s="34">
        <v>1995</v>
      </c>
      <c r="B450" s="34" t="s">
        <v>973</v>
      </c>
      <c r="C450" s="34" t="s">
        <v>723</v>
      </c>
      <c r="D450" s="34">
        <v>172</v>
      </c>
      <c r="E450" s="34" t="s">
        <v>987</v>
      </c>
      <c r="F450" s="37" t="s">
        <v>174</v>
      </c>
      <c r="G450" s="37" t="s">
        <v>502</v>
      </c>
      <c r="H450" s="34" t="s">
        <v>39</v>
      </c>
      <c r="I450" s="34">
        <v>298765</v>
      </c>
      <c r="J450" s="34">
        <v>21667</v>
      </c>
      <c r="K450" s="37">
        <v>51.81</v>
      </c>
      <c r="L450" s="37" t="s">
        <v>19</v>
      </c>
      <c r="M450" s="34">
        <v>185678</v>
      </c>
    </row>
    <row r="451" spans="1:13">
      <c r="A451" s="34">
        <v>1996</v>
      </c>
      <c r="B451" s="34" t="s">
        <v>973</v>
      </c>
      <c r="C451" s="34" t="s">
        <v>985</v>
      </c>
      <c r="D451" s="34">
        <v>164</v>
      </c>
      <c r="E451" s="34" t="s">
        <v>996</v>
      </c>
      <c r="F451" s="37" t="s">
        <v>174</v>
      </c>
      <c r="G451" s="37" t="s">
        <v>502</v>
      </c>
      <c r="H451" s="34" t="s">
        <v>39</v>
      </c>
      <c r="I451" s="34">
        <v>312456</v>
      </c>
      <c r="J451" s="34">
        <v>22136</v>
      </c>
      <c r="K451" s="37">
        <v>51.53</v>
      </c>
      <c r="L451" s="37" t="s">
        <v>19</v>
      </c>
      <c r="M451" s="34">
        <v>192345</v>
      </c>
    </row>
    <row r="452" spans="1:13">
      <c r="A452" s="34">
        <v>1997</v>
      </c>
      <c r="B452" s="34" t="s">
        <v>973</v>
      </c>
      <c r="C452" s="34" t="s">
        <v>989</v>
      </c>
      <c r="D452" s="34">
        <v>61</v>
      </c>
      <c r="E452" s="34" t="s">
        <v>997</v>
      </c>
      <c r="F452" s="37" t="s">
        <v>178</v>
      </c>
      <c r="G452" s="37" t="s">
        <v>181</v>
      </c>
      <c r="H452" s="34" t="s">
        <v>26</v>
      </c>
      <c r="I452" s="34">
        <v>345678</v>
      </c>
      <c r="J452" s="34">
        <v>24198</v>
      </c>
      <c r="K452" s="37">
        <v>51.74</v>
      </c>
      <c r="L452" s="37" t="s">
        <v>19</v>
      </c>
      <c r="M452" s="34">
        <v>212345</v>
      </c>
    </row>
    <row r="453" spans="1:13">
      <c r="A453" s="34">
        <v>1998</v>
      </c>
      <c r="B453" s="34" t="s">
        <v>973</v>
      </c>
      <c r="C453" s="34" t="s">
        <v>979</v>
      </c>
      <c r="D453" s="34">
        <v>44</v>
      </c>
      <c r="E453" s="34" t="s">
        <v>998</v>
      </c>
      <c r="F453" s="37" t="s">
        <v>174</v>
      </c>
      <c r="G453" s="37" t="s">
        <v>181</v>
      </c>
      <c r="H453" s="34" t="s">
        <v>26</v>
      </c>
      <c r="I453" s="34">
        <v>334567</v>
      </c>
      <c r="J453" s="34">
        <v>24000</v>
      </c>
      <c r="K453" s="37">
        <v>51.7</v>
      </c>
      <c r="L453" s="37" t="s">
        <v>19</v>
      </c>
      <c r="M453" s="34">
        <v>203456</v>
      </c>
    </row>
    <row r="454" spans="1:13">
      <c r="A454" s="34">
        <v>1999</v>
      </c>
      <c r="B454" s="34" t="s">
        <v>973</v>
      </c>
      <c r="C454" s="34" t="s">
        <v>999</v>
      </c>
      <c r="D454" s="34">
        <v>131</v>
      </c>
      <c r="E454" s="34" t="s">
        <v>1000</v>
      </c>
      <c r="F454" s="37" t="s">
        <v>174</v>
      </c>
      <c r="G454" s="37" t="s">
        <v>502</v>
      </c>
      <c r="H454" s="34" t="s">
        <v>39</v>
      </c>
      <c r="I454" s="34">
        <v>295678</v>
      </c>
      <c r="J454" s="34">
        <v>22222</v>
      </c>
      <c r="K454" s="37">
        <v>51.86</v>
      </c>
      <c r="L454" s="37" t="s">
        <v>19</v>
      </c>
      <c r="M454" s="34">
        <v>182345</v>
      </c>
    </row>
    <row r="455" spans="1:13">
      <c r="A455" s="34">
        <v>2000</v>
      </c>
      <c r="B455" s="34" t="s">
        <v>973</v>
      </c>
      <c r="C455" s="34" t="s">
        <v>1001</v>
      </c>
      <c r="D455" s="34">
        <v>148</v>
      </c>
      <c r="E455" s="34" t="s">
        <v>512</v>
      </c>
      <c r="F455" s="37" t="s">
        <v>174</v>
      </c>
      <c r="G455" s="37" t="s">
        <v>181</v>
      </c>
      <c r="H455" s="34" t="s">
        <v>26</v>
      </c>
      <c r="I455" s="34">
        <v>267890</v>
      </c>
      <c r="J455" s="34">
        <v>17247</v>
      </c>
      <c r="K455" s="37">
        <v>52.09</v>
      </c>
      <c r="L455" s="37" t="s">
        <v>22</v>
      </c>
      <c r="M455" s="34">
        <v>167234</v>
      </c>
    </row>
    <row r="456" spans="1:13">
      <c r="A456" s="34">
        <v>2001</v>
      </c>
      <c r="B456" s="34" t="s">
        <v>973</v>
      </c>
      <c r="C456" s="34" t="s">
        <v>1002</v>
      </c>
      <c r="D456" s="34">
        <v>191</v>
      </c>
      <c r="E456" s="34" t="s">
        <v>1003</v>
      </c>
      <c r="F456" s="37" t="s">
        <v>174</v>
      </c>
      <c r="G456" s="37" t="s">
        <v>502</v>
      </c>
      <c r="H456" s="34" t="s">
        <v>39</v>
      </c>
      <c r="I456" s="34">
        <v>234567</v>
      </c>
      <c r="J456" s="34">
        <v>14444</v>
      </c>
      <c r="K456" s="37">
        <v>52.11</v>
      </c>
      <c r="L456" s="37" t="s">
        <v>22</v>
      </c>
      <c r="M456" s="34">
        <v>145234</v>
      </c>
    </row>
    <row r="457" spans="1:13">
      <c r="A457" s="34">
        <v>2002</v>
      </c>
      <c r="B457" s="34" t="s">
        <v>973</v>
      </c>
      <c r="C457" s="34" t="s">
        <v>1004</v>
      </c>
      <c r="D457" s="34">
        <v>7</v>
      </c>
      <c r="E457" s="34" t="s">
        <v>1005</v>
      </c>
      <c r="F457" s="37" t="s">
        <v>174</v>
      </c>
      <c r="G457" s="37" t="s">
        <v>181</v>
      </c>
      <c r="H457" s="34" t="s">
        <v>26</v>
      </c>
      <c r="I457" s="34">
        <v>245678</v>
      </c>
      <c r="J457" s="34">
        <v>13667</v>
      </c>
      <c r="K457" s="37">
        <v>51.72</v>
      </c>
      <c r="L457" s="37" t="s">
        <v>19</v>
      </c>
      <c r="M457" s="34">
        <v>151234</v>
      </c>
    </row>
    <row r="458" spans="1:13">
      <c r="A458" s="34">
        <v>2003</v>
      </c>
      <c r="B458" s="34" t="s">
        <v>973</v>
      </c>
      <c r="C458" s="34" t="s">
        <v>981</v>
      </c>
      <c r="D458" s="34">
        <v>17</v>
      </c>
      <c r="E458" s="34" t="s">
        <v>1006</v>
      </c>
      <c r="F458" s="37" t="s">
        <v>174</v>
      </c>
      <c r="G458" s="37" t="s">
        <v>502</v>
      </c>
      <c r="H458" s="34" t="s">
        <v>39</v>
      </c>
      <c r="I458" s="34">
        <v>301234</v>
      </c>
      <c r="J458" s="34">
        <v>21666</v>
      </c>
      <c r="K458" s="37">
        <v>52.13</v>
      </c>
      <c r="L458" s="37" t="s">
        <v>19</v>
      </c>
      <c r="M458" s="34">
        <v>185678</v>
      </c>
    </row>
    <row r="459" spans="1:13">
      <c r="A459" s="34">
        <v>2004</v>
      </c>
      <c r="B459" s="34" t="s">
        <v>973</v>
      </c>
      <c r="C459" s="34" t="s">
        <v>991</v>
      </c>
      <c r="D459" s="34">
        <v>55</v>
      </c>
      <c r="E459" s="34" t="s">
        <v>1007</v>
      </c>
      <c r="F459" s="37" t="s">
        <v>174</v>
      </c>
      <c r="G459" s="37" t="s">
        <v>181</v>
      </c>
      <c r="H459" s="34" t="s">
        <v>26</v>
      </c>
      <c r="I459" s="34">
        <v>312345</v>
      </c>
      <c r="J459" s="34">
        <v>21753</v>
      </c>
      <c r="K459" s="37">
        <v>51.92</v>
      </c>
      <c r="L459" s="37" t="s">
        <v>19</v>
      </c>
      <c r="M459" s="34">
        <v>192345</v>
      </c>
    </row>
    <row r="460" spans="1:13">
      <c r="A460" s="34">
        <v>2005</v>
      </c>
      <c r="B460" s="34" t="s">
        <v>973</v>
      </c>
      <c r="C460" s="34" t="s">
        <v>1008</v>
      </c>
      <c r="D460" s="34">
        <v>88</v>
      </c>
      <c r="E460" s="34" t="s">
        <v>1009</v>
      </c>
      <c r="F460" s="37" t="s">
        <v>174</v>
      </c>
      <c r="G460" s="37" t="s">
        <v>502</v>
      </c>
      <c r="H460" s="34" t="s">
        <v>39</v>
      </c>
      <c r="I460" s="34">
        <v>256789</v>
      </c>
      <c r="J460" s="34">
        <v>14455</v>
      </c>
      <c r="K460" s="37">
        <v>51.72</v>
      </c>
      <c r="L460" s="37" t="s">
        <v>19</v>
      </c>
      <c r="M460" s="34">
        <v>159234</v>
      </c>
    </row>
    <row r="461" spans="1:13">
      <c r="A461" s="34">
        <v>2006</v>
      </c>
      <c r="B461" s="34" t="s">
        <v>973</v>
      </c>
      <c r="C461" s="34" t="s">
        <v>1010</v>
      </c>
      <c r="D461" s="34">
        <v>67</v>
      </c>
      <c r="E461" s="34" t="s">
        <v>1011</v>
      </c>
      <c r="F461" s="37" t="s">
        <v>174</v>
      </c>
      <c r="G461" s="37" t="s">
        <v>181</v>
      </c>
      <c r="H461" s="34" t="s">
        <v>26</v>
      </c>
      <c r="I461" s="34">
        <v>278912</v>
      </c>
      <c r="J461" s="34">
        <v>19444</v>
      </c>
      <c r="K461" s="37">
        <v>51.98</v>
      </c>
      <c r="L461" s="37" t="s">
        <v>19</v>
      </c>
      <c r="M461" s="34">
        <v>172345</v>
      </c>
    </row>
    <row r="462" spans="1:13">
      <c r="A462" s="34">
        <v>2007</v>
      </c>
      <c r="B462" s="34" t="s">
        <v>973</v>
      </c>
      <c r="C462" s="34" t="s">
        <v>1012</v>
      </c>
      <c r="D462" s="34">
        <v>189</v>
      </c>
      <c r="E462" s="34" t="s">
        <v>1013</v>
      </c>
      <c r="F462" s="37" t="s">
        <v>174</v>
      </c>
      <c r="G462" s="37" t="s">
        <v>502</v>
      </c>
      <c r="H462" s="34" t="s">
        <v>39</v>
      </c>
      <c r="I462" s="34">
        <v>234567</v>
      </c>
      <c r="J462" s="34">
        <v>13889</v>
      </c>
      <c r="K462" s="37">
        <v>51.57</v>
      </c>
      <c r="L462" s="37" t="s">
        <v>22</v>
      </c>
      <c r="M462" s="34">
        <v>145678</v>
      </c>
    </row>
    <row r="463" spans="1:13">
      <c r="A463" s="34">
        <v>2008</v>
      </c>
      <c r="B463" s="34" t="s">
        <v>973</v>
      </c>
      <c r="C463" s="34" t="s">
        <v>1014</v>
      </c>
      <c r="D463" s="34">
        <v>158</v>
      </c>
      <c r="E463" s="34" t="s">
        <v>1015</v>
      </c>
      <c r="F463" s="37" t="s">
        <v>174</v>
      </c>
      <c r="G463" s="37" t="s">
        <v>181</v>
      </c>
      <c r="H463" s="34" t="s">
        <v>26</v>
      </c>
      <c r="I463" s="34">
        <v>295678</v>
      </c>
      <c r="J463" s="34">
        <v>21111</v>
      </c>
      <c r="K463" s="37">
        <v>52.18</v>
      </c>
      <c r="L463" s="37" t="s">
        <v>19</v>
      </c>
      <c r="M463" s="34">
        <v>181234</v>
      </c>
    </row>
    <row r="464" spans="1:13">
      <c r="A464" s="34">
        <v>2009</v>
      </c>
      <c r="B464" s="34" t="s">
        <v>973</v>
      </c>
      <c r="C464" s="34" t="s">
        <v>1016</v>
      </c>
      <c r="D464" s="34">
        <v>164</v>
      </c>
      <c r="E464" s="34" t="s">
        <v>1017</v>
      </c>
      <c r="F464" s="37" t="s">
        <v>174</v>
      </c>
      <c r="G464" s="37" t="s">
        <v>502</v>
      </c>
      <c r="H464" s="34" t="s">
        <v>39</v>
      </c>
      <c r="I464" s="34">
        <v>256789</v>
      </c>
      <c r="J464" s="34">
        <v>15444</v>
      </c>
      <c r="K464" s="37">
        <v>52.1</v>
      </c>
      <c r="L464" s="37" t="s">
        <v>22</v>
      </c>
      <c r="M464" s="34">
        <v>162345</v>
      </c>
    </row>
    <row r="465" spans="1:13">
      <c r="A465" s="34">
        <v>2010</v>
      </c>
      <c r="B465" s="34" t="s">
        <v>973</v>
      </c>
      <c r="C465" s="34" t="s">
        <v>1018</v>
      </c>
      <c r="D465" s="34">
        <v>176</v>
      </c>
      <c r="E465" s="34" t="s">
        <v>1019</v>
      </c>
      <c r="F465" s="37" t="s">
        <v>174</v>
      </c>
      <c r="G465" s="37" t="s">
        <v>181</v>
      </c>
      <c r="H465" s="34" t="s">
        <v>26</v>
      </c>
      <c r="I465" s="34">
        <v>287654</v>
      </c>
      <c r="J465" s="34">
        <v>20000</v>
      </c>
      <c r="K465" s="37">
        <v>51.93</v>
      </c>
      <c r="L465" s="37" t="s">
        <v>19</v>
      </c>
      <c r="M465" s="34">
        <v>175678</v>
      </c>
    </row>
    <row r="466" spans="1:13">
      <c r="A466" s="34">
        <v>2011</v>
      </c>
      <c r="B466" s="34" t="s">
        <v>973</v>
      </c>
      <c r="C466" s="34" t="s">
        <v>1020</v>
      </c>
      <c r="D466" s="34">
        <v>38</v>
      </c>
      <c r="E466" s="34" t="s">
        <v>1021</v>
      </c>
      <c r="F466" s="37" t="s">
        <v>178</v>
      </c>
      <c r="G466" s="37" t="s">
        <v>502</v>
      </c>
      <c r="H466" s="34" t="s">
        <v>39</v>
      </c>
      <c r="I466" s="34">
        <v>267890</v>
      </c>
      <c r="J466" s="34">
        <v>18222</v>
      </c>
      <c r="K466" s="37">
        <v>52.19</v>
      </c>
      <c r="L466" s="37" t="s">
        <v>19</v>
      </c>
      <c r="M466" s="34">
        <v>165432</v>
      </c>
    </row>
    <row r="467" spans="1:13">
      <c r="A467" s="34">
        <v>2012</v>
      </c>
      <c r="B467" s="34" t="s">
        <v>973</v>
      </c>
      <c r="C467" s="34" t="s">
        <v>1022</v>
      </c>
      <c r="D467" s="34">
        <v>34</v>
      </c>
      <c r="E467" s="34" t="s">
        <v>1023</v>
      </c>
      <c r="F467" s="37" t="s">
        <v>174</v>
      </c>
      <c r="G467" s="37" t="s">
        <v>181</v>
      </c>
      <c r="H467" s="34" t="s">
        <v>26</v>
      </c>
      <c r="I467" s="34">
        <v>301234</v>
      </c>
      <c r="J467" s="34">
        <v>20000</v>
      </c>
      <c r="K467" s="37">
        <v>51.26</v>
      </c>
      <c r="L467" s="37" t="s">
        <v>19</v>
      </c>
      <c r="M467" s="34">
        <v>182345</v>
      </c>
    </row>
    <row r="468" spans="1:13">
      <c r="A468" s="34">
        <v>2013</v>
      </c>
      <c r="B468" s="34" t="s">
        <v>973</v>
      </c>
      <c r="C468" s="34" t="s">
        <v>1024</v>
      </c>
      <c r="D468" s="34">
        <v>167</v>
      </c>
      <c r="E468" s="34" t="s">
        <v>1013</v>
      </c>
      <c r="F468" s="37" t="s">
        <v>174</v>
      </c>
      <c r="G468" s="37" t="s">
        <v>502</v>
      </c>
      <c r="H468" s="34" t="s">
        <v>39</v>
      </c>
      <c r="I468" s="34">
        <v>289012</v>
      </c>
      <c r="J468" s="34">
        <v>20000</v>
      </c>
      <c r="K468" s="37">
        <v>51.93</v>
      </c>
      <c r="L468" s="37" t="s">
        <v>19</v>
      </c>
      <c r="M468" s="34">
        <v>175678</v>
      </c>
    </row>
    <row r="469" spans="1:13">
      <c r="A469" s="34">
        <v>2014</v>
      </c>
      <c r="B469" s="34" t="s">
        <v>973</v>
      </c>
      <c r="C469" s="34" t="s">
        <v>1025</v>
      </c>
      <c r="D469" s="34">
        <v>33</v>
      </c>
      <c r="E469" s="34" t="s">
        <v>1026</v>
      </c>
      <c r="F469" s="37" t="s">
        <v>174</v>
      </c>
      <c r="G469" s="37" t="s">
        <v>502</v>
      </c>
      <c r="H469" s="34" t="s">
        <v>39</v>
      </c>
      <c r="I469" s="34">
        <v>312345</v>
      </c>
      <c r="J469" s="34">
        <v>24333</v>
      </c>
      <c r="K469" s="37">
        <v>52.55</v>
      </c>
      <c r="L469" s="37" t="s">
        <v>19</v>
      </c>
      <c r="M469" s="34">
        <v>189234</v>
      </c>
    </row>
    <row r="470" spans="1:13">
      <c r="A470" s="34">
        <v>2015</v>
      </c>
      <c r="B470" s="34" t="s">
        <v>973</v>
      </c>
      <c r="C470" s="34" t="s">
        <v>1027</v>
      </c>
      <c r="D470" s="34">
        <v>112</v>
      </c>
      <c r="E470" s="34" t="s">
        <v>523</v>
      </c>
      <c r="F470" s="37" t="s">
        <v>174</v>
      </c>
      <c r="G470" s="37" t="s">
        <v>181</v>
      </c>
      <c r="H470" s="34" t="s">
        <v>26</v>
      </c>
      <c r="I470" s="34">
        <v>278901</v>
      </c>
      <c r="J470" s="34">
        <v>18333</v>
      </c>
      <c r="K470" s="37">
        <v>51.98</v>
      </c>
      <c r="L470" s="37" t="s">
        <v>19</v>
      </c>
      <c r="M470" s="34">
        <v>172345</v>
      </c>
    </row>
    <row r="471" spans="1:13">
      <c r="A471" s="34">
        <v>2016</v>
      </c>
      <c r="B471" s="34" t="s">
        <v>973</v>
      </c>
      <c r="C471" s="34" t="s">
        <v>1028</v>
      </c>
      <c r="D471" s="34">
        <v>145</v>
      </c>
      <c r="E471" s="34" t="s">
        <v>1029</v>
      </c>
      <c r="F471" s="37" t="s">
        <v>174</v>
      </c>
      <c r="G471" s="37" t="s">
        <v>181</v>
      </c>
      <c r="H471" s="34" t="s">
        <v>26</v>
      </c>
      <c r="I471" s="34">
        <v>245678</v>
      </c>
      <c r="J471" s="34">
        <v>13111</v>
      </c>
      <c r="K471" s="37">
        <v>51.82</v>
      </c>
      <c r="L471" s="37" t="s">
        <v>22</v>
      </c>
      <c r="M471" s="34">
        <v>156789</v>
      </c>
    </row>
    <row r="472" spans="1:13">
      <c r="A472" s="34">
        <v>2017</v>
      </c>
      <c r="B472" s="34" t="s">
        <v>973</v>
      </c>
      <c r="C472" s="34" t="s">
        <v>1030</v>
      </c>
      <c r="D472" s="34">
        <v>2</v>
      </c>
      <c r="E472" s="34" t="s">
        <v>1031</v>
      </c>
      <c r="F472" s="37" t="s">
        <v>178</v>
      </c>
      <c r="G472" s="37" t="s">
        <v>502</v>
      </c>
      <c r="H472" s="34" t="s">
        <v>39</v>
      </c>
      <c r="I472" s="34">
        <v>234567</v>
      </c>
      <c r="J472" s="34">
        <v>15344</v>
      </c>
      <c r="K472" s="37">
        <v>52.43</v>
      </c>
      <c r="L472" s="37" t="s">
        <v>107</v>
      </c>
      <c r="M472" s="34">
        <v>152345</v>
      </c>
    </row>
    <row r="473" spans="1:13">
      <c r="A473" s="34">
        <v>2018</v>
      </c>
      <c r="B473" s="34" t="s">
        <v>973</v>
      </c>
      <c r="C473" s="34" t="s">
        <v>1032</v>
      </c>
      <c r="D473" s="34">
        <v>199</v>
      </c>
      <c r="E473" s="34" t="s">
        <v>1033</v>
      </c>
      <c r="F473" s="37" t="s">
        <v>174</v>
      </c>
      <c r="G473" s="37" t="s">
        <v>502</v>
      </c>
      <c r="H473" s="34" t="s">
        <v>39</v>
      </c>
      <c r="I473" s="34">
        <v>267890</v>
      </c>
      <c r="J473" s="34">
        <v>16222</v>
      </c>
      <c r="K473" s="37">
        <v>52.3</v>
      </c>
      <c r="L473" s="37" t="s">
        <v>19</v>
      </c>
      <c r="M473" s="34">
        <v>167234</v>
      </c>
    </row>
    <row r="474" spans="1:13">
      <c r="A474" s="34">
        <v>2018</v>
      </c>
      <c r="B474" s="34" t="s">
        <v>973</v>
      </c>
      <c r="C474" s="34" t="s">
        <v>979</v>
      </c>
      <c r="D474" s="34">
        <v>44</v>
      </c>
      <c r="E474" s="34" t="s">
        <v>1034</v>
      </c>
      <c r="F474" s="37" t="s">
        <v>174</v>
      </c>
      <c r="G474" s="37" t="s">
        <v>181</v>
      </c>
      <c r="H474" s="34" t="s">
        <v>26</v>
      </c>
      <c r="I474" s="34">
        <v>345678</v>
      </c>
      <c r="J474" s="34">
        <v>23333</v>
      </c>
      <c r="K474" s="37">
        <v>51.87</v>
      </c>
      <c r="L474" s="37" t="s">
        <v>19</v>
      </c>
      <c r="M474" s="34">
        <v>201567</v>
      </c>
    </row>
    <row r="475" spans="1:13">
      <c r="A475" s="34">
        <v>2018</v>
      </c>
      <c r="B475" s="34" t="s">
        <v>973</v>
      </c>
      <c r="C475" s="34" t="s">
        <v>977</v>
      </c>
      <c r="D475" s="34">
        <v>29</v>
      </c>
      <c r="E475" s="34" t="s">
        <v>1035</v>
      </c>
      <c r="F475" s="37" t="s">
        <v>174</v>
      </c>
      <c r="G475" s="37" t="s">
        <v>181</v>
      </c>
      <c r="H475" s="34" t="s">
        <v>26</v>
      </c>
      <c r="I475" s="34">
        <v>324567</v>
      </c>
      <c r="J475" s="34">
        <v>24222</v>
      </c>
      <c r="K475" s="37">
        <v>51.68</v>
      </c>
      <c r="L475" s="37" t="s">
        <v>19</v>
      </c>
      <c r="M475" s="34">
        <v>198234</v>
      </c>
    </row>
    <row r="476" spans="1:13">
      <c r="A476" s="34">
        <v>2019</v>
      </c>
      <c r="B476" s="34" t="s">
        <v>973</v>
      </c>
      <c r="C476" s="34" t="s">
        <v>1036</v>
      </c>
      <c r="D476" s="34">
        <v>188</v>
      </c>
      <c r="E476" s="34" t="s">
        <v>1037</v>
      </c>
      <c r="F476" s="37" t="s">
        <v>174</v>
      </c>
      <c r="G476" s="37" t="s">
        <v>502</v>
      </c>
      <c r="H476" s="34" t="s">
        <v>39</v>
      </c>
      <c r="I476" s="34">
        <v>245678</v>
      </c>
      <c r="J476" s="34">
        <v>16000</v>
      </c>
      <c r="K476" s="37">
        <v>51.78</v>
      </c>
      <c r="L476" s="37" t="s">
        <v>19</v>
      </c>
      <c r="M476" s="34">
        <v>151234</v>
      </c>
    </row>
    <row r="477" spans="1:13">
      <c r="A477" s="34">
        <v>2019</v>
      </c>
      <c r="B477" s="34" t="s">
        <v>973</v>
      </c>
      <c r="C477" s="34" t="s">
        <v>1038</v>
      </c>
      <c r="D477" s="34">
        <v>79</v>
      </c>
      <c r="E477" s="34" t="s">
        <v>1039</v>
      </c>
      <c r="F477" s="37" t="s">
        <v>174</v>
      </c>
      <c r="G477" s="37" t="s">
        <v>1040</v>
      </c>
      <c r="H477" s="34" t="s">
        <v>172</v>
      </c>
      <c r="I477" s="34">
        <v>356789</v>
      </c>
      <c r="J477" s="34">
        <v>24889</v>
      </c>
      <c r="K477" s="37">
        <v>52.08</v>
      </c>
      <c r="L477" s="37" t="s">
        <v>19</v>
      </c>
      <c r="M477" s="34">
        <v>215678</v>
      </c>
    </row>
    <row r="478" spans="1:13">
      <c r="A478" s="34">
        <v>2020</v>
      </c>
      <c r="B478" s="34" t="s">
        <v>973</v>
      </c>
      <c r="C478" s="34" t="s">
        <v>973</v>
      </c>
      <c r="D478" s="34">
        <v>183</v>
      </c>
      <c r="E478" s="34" t="s">
        <v>994</v>
      </c>
      <c r="F478" s="37" t="s">
        <v>174</v>
      </c>
      <c r="G478" s="37" t="s">
        <v>502</v>
      </c>
      <c r="H478" s="34" t="s">
        <v>39</v>
      </c>
      <c r="I478" s="34">
        <v>298765</v>
      </c>
      <c r="J478" s="34">
        <v>19989</v>
      </c>
      <c r="K478" s="37">
        <v>50.99</v>
      </c>
      <c r="L478" s="37" t="s">
        <v>19</v>
      </c>
      <c r="M478" s="34">
        <v>178923</v>
      </c>
    </row>
    <row r="479" spans="1:13">
      <c r="A479" s="34">
        <v>2021</v>
      </c>
      <c r="B479" s="34" t="s">
        <v>973</v>
      </c>
      <c r="C479" s="34" t="s">
        <v>1041</v>
      </c>
      <c r="D479" s="34">
        <v>173</v>
      </c>
      <c r="E479" s="34" t="s">
        <v>1042</v>
      </c>
      <c r="F479" s="37" t="s">
        <v>174</v>
      </c>
      <c r="G479" s="37" t="s">
        <v>181</v>
      </c>
      <c r="H479" s="34" t="s">
        <v>26</v>
      </c>
      <c r="I479" s="34">
        <v>312456</v>
      </c>
      <c r="J479" s="34">
        <v>23276</v>
      </c>
      <c r="K479" s="37">
        <v>51.41</v>
      </c>
      <c r="L479" s="37" t="s">
        <v>19</v>
      </c>
      <c r="M479" s="34">
        <v>185632</v>
      </c>
    </row>
    <row r="480" spans="1:13">
      <c r="A480" s="34">
        <v>2023</v>
      </c>
      <c r="B480" s="34" t="s">
        <v>973</v>
      </c>
      <c r="C480" s="34" t="s">
        <v>1043</v>
      </c>
      <c r="D480" s="34">
        <v>169</v>
      </c>
      <c r="E480" s="34" t="s">
        <v>1044</v>
      </c>
      <c r="F480" s="37" t="s">
        <v>174</v>
      </c>
      <c r="G480" s="37" t="s">
        <v>502</v>
      </c>
      <c r="H480" s="34" t="s">
        <v>39</v>
      </c>
      <c r="I480" s="34">
        <v>285432</v>
      </c>
      <c r="J480" s="34">
        <v>20989</v>
      </c>
      <c r="K480" s="37">
        <v>52.93</v>
      </c>
      <c r="L480" s="37" t="s">
        <v>19</v>
      </c>
      <c r="M480" s="34">
        <v>168543</v>
      </c>
    </row>
    <row r="481" spans="1:14">
      <c r="A481" s="35">
        <v>2016</v>
      </c>
      <c r="B481" s="35" t="s">
        <v>1045</v>
      </c>
      <c r="C481" s="35" t="s">
        <v>1046</v>
      </c>
      <c r="D481" s="35">
        <v>35</v>
      </c>
      <c r="E481" s="35" t="s">
        <v>1047</v>
      </c>
      <c r="F481" s="37" t="s">
        <v>174</v>
      </c>
      <c r="G481" s="37" t="s">
        <v>1048</v>
      </c>
      <c r="H481" s="35" t="s">
        <v>165</v>
      </c>
      <c r="I481" s="35">
        <v>188350</v>
      </c>
      <c r="J481" s="35">
        <v>53625</v>
      </c>
      <c r="K481" s="37">
        <v>60.38</v>
      </c>
      <c r="L481" s="37" t="s">
        <v>19</v>
      </c>
      <c r="M481" s="35">
        <v>154146</v>
      </c>
    </row>
    <row r="482" spans="1:14">
      <c r="A482" s="35">
        <v>2016</v>
      </c>
      <c r="B482" s="35" t="s">
        <v>1045</v>
      </c>
      <c r="C482" s="35" t="s">
        <v>1049</v>
      </c>
      <c r="D482" s="35">
        <v>113</v>
      </c>
      <c r="E482" s="35" t="s">
        <v>1050</v>
      </c>
      <c r="F482" s="37" t="s">
        <v>174</v>
      </c>
      <c r="G482" s="37" t="s">
        <v>1048</v>
      </c>
      <c r="H482" s="35" t="s">
        <v>165</v>
      </c>
      <c r="I482" s="35">
        <v>190477</v>
      </c>
      <c r="J482" s="35">
        <v>45665</v>
      </c>
      <c r="K482" s="37">
        <v>62.99</v>
      </c>
      <c r="L482" s="37" t="s">
        <v>19</v>
      </c>
      <c r="M482" s="35">
        <v>170940</v>
      </c>
    </row>
    <row r="483" spans="1:14">
      <c r="A483" s="35">
        <v>2019</v>
      </c>
      <c r="B483" s="35" t="s">
        <v>1045</v>
      </c>
      <c r="C483" s="35" t="s">
        <v>1051</v>
      </c>
      <c r="D483" s="35">
        <v>91</v>
      </c>
      <c r="E483" s="35" t="s">
        <v>1052</v>
      </c>
      <c r="F483" s="37" t="s">
        <v>174</v>
      </c>
      <c r="G483" s="37" t="s">
        <v>1048</v>
      </c>
      <c r="H483" s="35" t="s">
        <v>165</v>
      </c>
      <c r="I483" s="35">
        <v>236470</v>
      </c>
      <c r="J483" s="35">
        <v>43358</v>
      </c>
      <c r="K483" s="37">
        <v>56.74</v>
      </c>
      <c r="L483" s="37" t="s">
        <v>19</v>
      </c>
      <c r="M483" s="35">
        <v>199332</v>
      </c>
    </row>
    <row r="484" spans="1:14">
      <c r="A484" s="35">
        <v>2020</v>
      </c>
      <c r="B484" s="35" t="s">
        <v>1045</v>
      </c>
      <c r="C484" s="35" t="s">
        <v>1053</v>
      </c>
      <c r="D484" s="35">
        <v>41</v>
      </c>
      <c r="E484" s="35" t="s">
        <v>1054</v>
      </c>
      <c r="F484" s="37" t="s">
        <v>174</v>
      </c>
      <c r="G484" s="37" t="s">
        <v>502</v>
      </c>
      <c r="H484" s="35" t="s">
        <v>39</v>
      </c>
      <c r="I484" s="35">
        <v>198807</v>
      </c>
      <c r="J484" s="35">
        <v>1079</v>
      </c>
      <c r="K484" s="37">
        <v>38.58</v>
      </c>
      <c r="L484" s="37" t="s">
        <v>19</v>
      </c>
      <c r="M484" s="35">
        <v>164192</v>
      </c>
    </row>
    <row r="485" spans="1:14">
      <c r="A485" s="35">
        <v>2021</v>
      </c>
      <c r="B485" s="35" t="s">
        <v>1045</v>
      </c>
      <c r="C485" s="35" t="s">
        <v>1055</v>
      </c>
      <c r="D485" s="35">
        <v>87</v>
      </c>
      <c r="E485" s="35" t="s">
        <v>1056</v>
      </c>
      <c r="F485" s="37" t="s">
        <v>174</v>
      </c>
      <c r="G485" s="37" t="s">
        <v>1048</v>
      </c>
      <c r="H485" s="35" t="s">
        <v>165</v>
      </c>
      <c r="I485" s="35">
        <v>220381</v>
      </c>
      <c r="J485" s="35">
        <v>18881</v>
      </c>
      <c r="K485" s="37">
        <v>53.86</v>
      </c>
      <c r="L485" s="37" t="s">
        <v>19</v>
      </c>
      <c r="M485" s="35">
        <v>189054</v>
      </c>
    </row>
    <row r="486" spans="1:14">
      <c r="A486" s="35">
        <v>2021</v>
      </c>
      <c r="B486" s="35" t="s">
        <v>1045</v>
      </c>
      <c r="C486" s="35" t="s">
        <v>206</v>
      </c>
      <c r="D486" s="35">
        <v>31</v>
      </c>
      <c r="E486" s="35" t="s">
        <v>1057</v>
      </c>
      <c r="F486" s="37" t="s">
        <v>174</v>
      </c>
      <c r="G486" s="37" t="s">
        <v>502</v>
      </c>
      <c r="H486" s="35" t="s">
        <v>39</v>
      </c>
      <c r="I486" s="35">
        <v>237036</v>
      </c>
      <c r="J486" s="35">
        <v>23855</v>
      </c>
      <c r="K486" s="37">
        <v>52.19</v>
      </c>
      <c r="L486" s="37" t="s">
        <v>19</v>
      </c>
      <c r="M486" s="35">
        <v>205053</v>
      </c>
    </row>
    <row r="487" spans="1:14">
      <c r="A487" s="35">
        <v>2022</v>
      </c>
      <c r="B487" s="35" t="s">
        <v>1045</v>
      </c>
      <c r="C487" s="35" t="s">
        <v>1058</v>
      </c>
      <c r="D487" s="35">
        <v>93</v>
      </c>
      <c r="E487" s="35" t="s">
        <v>1059</v>
      </c>
      <c r="F487" s="37" t="s">
        <v>174</v>
      </c>
      <c r="G487" s="37" t="s">
        <v>1048</v>
      </c>
      <c r="H487" s="35" t="s">
        <v>165</v>
      </c>
      <c r="I487" s="35">
        <v>241805</v>
      </c>
      <c r="J487" s="35">
        <v>10309</v>
      </c>
      <c r="K487" s="37">
        <v>43.08</v>
      </c>
      <c r="L487" s="37" t="s">
        <v>19</v>
      </c>
      <c r="M487" s="35">
        <v>225192</v>
      </c>
    </row>
    <row r="488" spans="1:14">
      <c r="A488" s="36">
        <v>2007</v>
      </c>
      <c r="B488" s="36" t="s">
        <v>1060</v>
      </c>
      <c r="C488" s="36" t="s">
        <v>1061</v>
      </c>
      <c r="D488" s="36">
        <v>43</v>
      </c>
      <c r="E488" s="36" t="s">
        <v>1062</v>
      </c>
      <c r="F488" s="37" t="s">
        <v>174</v>
      </c>
      <c r="G488" s="37" t="s">
        <v>502</v>
      </c>
      <c r="H488" s="36" t="s">
        <v>39</v>
      </c>
      <c r="I488" s="29">
        <v>85000</v>
      </c>
      <c r="J488" s="29">
        <v>12450</v>
      </c>
      <c r="K488" s="37">
        <v>0.49</v>
      </c>
      <c r="L488" s="37" t="s">
        <v>19</v>
      </c>
      <c r="M488" s="29">
        <v>42000</v>
      </c>
      <c r="N488" s="36"/>
    </row>
    <row r="489" spans="1:14">
      <c r="A489" s="36">
        <v>2008</v>
      </c>
      <c r="B489" s="36" t="s">
        <v>1060</v>
      </c>
      <c r="C489" s="36" t="s">
        <v>1063</v>
      </c>
      <c r="D489" s="36">
        <v>45</v>
      </c>
      <c r="E489" s="36" t="s">
        <v>1064</v>
      </c>
      <c r="F489" s="37" t="s">
        <v>174</v>
      </c>
      <c r="G489" s="37" t="s">
        <v>502</v>
      </c>
      <c r="H489" s="36" t="s">
        <v>39</v>
      </c>
      <c r="I489" s="29">
        <v>90000</v>
      </c>
      <c r="J489" s="29">
        <v>8900</v>
      </c>
      <c r="K489" s="37">
        <v>0.51</v>
      </c>
      <c r="L489" s="37" t="s">
        <v>107</v>
      </c>
      <c r="M489" s="29">
        <v>46000</v>
      </c>
      <c r="N489" s="36"/>
    </row>
    <row r="490" spans="1:14">
      <c r="A490" s="36">
        <v>2010</v>
      </c>
      <c r="B490" s="36" t="s">
        <v>1060</v>
      </c>
      <c r="C490" s="36" t="s">
        <v>1065</v>
      </c>
      <c r="D490" s="36">
        <v>48</v>
      </c>
      <c r="E490" s="36" t="s">
        <v>1066</v>
      </c>
      <c r="F490" s="37" t="s">
        <v>174</v>
      </c>
      <c r="G490" s="37" t="s">
        <v>502</v>
      </c>
      <c r="H490" s="36" t="s">
        <v>39</v>
      </c>
      <c r="I490" s="29">
        <v>88000</v>
      </c>
      <c r="J490" s="29">
        <v>7600</v>
      </c>
      <c r="K490" s="37">
        <v>0.5</v>
      </c>
      <c r="L490" s="37" t="s">
        <v>107</v>
      </c>
      <c r="M490" s="29">
        <v>44000</v>
      </c>
      <c r="N490" s="36"/>
    </row>
    <row r="491" spans="1:14">
      <c r="A491" s="36">
        <v>2012</v>
      </c>
      <c r="B491" s="36" t="s">
        <v>1060</v>
      </c>
      <c r="C491" s="36" t="s">
        <v>1067</v>
      </c>
      <c r="D491" s="36">
        <v>23</v>
      </c>
      <c r="E491" s="36" t="s">
        <v>1068</v>
      </c>
      <c r="F491" s="37" t="s">
        <v>174</v>
      </c>
      <c r="G491" s="37" t="s">
        <v>181</v>
      </c>
      <c r="H491" s="36" t="s">
        <v>26</v>
      </c>
      <c r="I491" s="29">
        <v>120000</v>
      </c>
      <c r="J491" s="29">
        <v>10200</v>
      </c>
      <c r="K491" s="37">
        <v>0.56599999999999995</v>
      </c>
      <c r="L491" s="37" t="s">
        <v>19</v>
      </c>
      <c r="M491" s="29">
        <v>68000</v>
      </c>
      <c r="N491" s="36"/>
    </row>
    <row r="492" spans="1:14">
      <c r="A492" s="36">
        <v>2014</v>
      </c>
      <c r="B492" s="36" t="s">
        <v>1060</v>
      </c>
      <c r="C492" s="36" t="s">
        <v>1069</v>
      </c>
      <c r="D492" s="36">
        <v>7</v>
      </c>
      <c r="E492" s="36" t="s">
        <v>1070</v>
      </c>
      <c r="F492" s="37" t="s">
        <v>174</v>
      </c>
      <c r="G492" s="37" t="s">
        <v>181</v>
      </c>
      <c r="H492" s="36" t="s">
        <v>26</v>
      </c>
      <c r="I492" s="29">
        <v>95000</v>
      </c>
      <c r="J492" s="29">
        <v>20000</v>
      </c>
      <c r="K492" s="37">
        <v>0.505</v>
      </c>
      <c r="L492" s="37" t="s">
        <v>19</v>
      </c>
      <c r="M492" s="29">
        <v>48000</v>
      </c>
      <c r="N492" s="36"/>
    </row>
    <row r="493" spans="1:14">
      <c r="A493" s="36">
        <v>2016</v>
      </c>
      <c r="B493" s="36" t="s">
        <v>1060</v>
      </c>
      <c r="C493" s="36" t="s">
        <v>1071</v>
      </c>
      <c r="D493" s="36">
        <v>4</v>
      </c>
      <c r="E493" s="36" t="s">
        <v>1072</v>
      </c>
      <c r="F493" s="37" t="s">
        <v>174</v>
      </c>
      <c r="G493" s="37" t="s">
        <v>181</v>
      </c>
      <c r="H493" s="36" t="s">
        <v>26</v>
      </c>
      <c r="I493" s="29">
        <v>102000</v>
      </c>
      <c r="J493" s="29">
        <v>7500</v>
      </c>
      <c r="K493" s="37">
        <v>0.53900000000000003</v>
      </c>
      <c r="L493" s="37" t="s">
        <v>19</v>
      </c>
      <c r="M493" s="29">
        <v>55000</v>
      </c>
      <c r="N493" s="36"/>
    </row>
    <row r="494" spans="1:14">
      <c r="A494" s="36">
        <v>2018</v>
      </c>
      <c r="B494" s="36" t="s">
        <v>1060</v>
      </c>
      <c r="C494" s="36" t="s">
        <v>1073</v>
      </c>
      <c r="D494" s="36">
        <v>5</v>
      </c>
      <c r="E494" s="36" t="s">
        <v>1074</v>
      </c>
      <c r="F494" s="37" t="s">
        <v>178</v>
      </c>
      <c r="G494" s="37" t="s">
        <v>502</v>
      </c>
      <c r="H494" s="36" t="s">
        <v>39</v>
      </c>
      <c r="I494" s="29">
        <v>110000</v>
      </c>
      <c r="J494" s="29">
        <v>1981</v>
      </c>
      <c r="K494" s="37">
        <v>0.54500000000000004</v>
      </c>
      <c r="L494" s="37" t="s">
        <v>107</v>
      </c>
      <c r="M494" s="29">
        <v>60000</v>
      </c>
      <c r="N494" s="36"/>
    </row>
    <row r="495" spans="1:14">
      <c r="A495" s="36">
        <v>2021</v>
      </c>
      <c r="B495" s="36" t="s">
        <v>1060</v>
      </c>
      <c r="C495" s="36" t="s">
        <v>1075</v>
      </c>
      <c r="D495" s="36">
        <v>49</v>
      </c>
      <c r="E495" s="36" t="s">
        <v>1076</v>
      </c>
      <c r="F495" s="37" t="s">
        <v>174</v>
      </c>
      <c r="G495" s="37" t="s">
        <v>502</v>
      </c>
      <c r="H495" s="36" t="s">
        <v>39</v>
      </c>
      <c r="I495" s="29">
        <v>115000</v>
      </c>
      <c r="J495" s="29">
        <v>4697</v>
      </c>
      <c r="K495" s="37">
        <v>0.53900000000000003</v>
      </c>
      <c r="L495" s="37" t="s">
        <v>19</v>
      </c>
      <c r="M495" s="29">
        <v>62000</v>
      </c>
      <c r="N495" s="36"/>
    </row>
    <row r="496" spans="1:14">
      <c r="A496" s="36">
        <v>2023</v>
      </c>
      <c r="B496" s="36" t="s">
        <v>1060</v>
      </c>
      <c r="C496" s="36" t="s">
        <v>1077</v>
      </c>
      <c r="D496" s="36">
        <v>47</v>
      </c>
      <c r="E496" s="36" t="s">
        <v>1078</v>
      </c>
      <c r="F496" s="37" t="s">
        <v>178</v>
      </c>
      <c r="G496" s="37" t="s">
        <v>502</v>
      </c>
      <c r="H496" s="36" t="s">
        <v>39</v>
      </c>
      <c r="I496" s="29">
        <v>108000</v>
      </c>
      <c r="J496" s="29">
        <v>2405</v>
      </c>
      <c r="K496" s="37">
        <v>0.53700000000000003</v>
      </c>
      <c r="L496" s="37" t="s">
        <v>107</v>
      </c>
      <c r="M496" s="29">
        <v>58000</v>
      </c>
      <c r="N496" s="36"/>
    </row>
    <row r="497" spans="1:13">
      <c r="A497" s="36">
        <v>1953</v>
      </c>
      <c r="B497" s="36" t="s">
        <v>1079</v>
      </c>
      <c r="C497" s="36" t="s">
        <v>1080</v>
      </c>
      <c r="D497" s="36">
        <v>145</v>
      </c>
      <c r="E497" s="36" t="s">
        <v>1081</v>
      </c>
      <c r="F497" s="37" t="s">
        <v>174</v>
      </c>
      <c r="G497" s="37" t="s">
        <v>409</v>
      </c>
      <c r="H497" s="36" t="s">
        <v>1082</v>
      </c>
      <c r="I497" s="29">
        <v>100000</v>
      </c>
      <c r="J497" s="29">
        <v>5000</v>
      </c>
      <c r="K497" s="37">
        <v>50</v>
      </c>
      <c r="L497" s="37" t="s">
        <v>19</v>
      </c>
      <c r="M497" s="29">
        <v>50000</v>
      </c>
    </row>
    <row r="498" spans="1:13">
      <c r="A498" s="36">
        <v>1972</v>
      </c>
      <c r="B498" s="36" t="s">
        <v>1079</v>
      </c>
      <c r="C498" s="36" t="s">
        <v>1083</v>
      </c>
      <c r="D498" s="36">
        <v>136</v>
      </c>
      <c r="E498" s="36" t="s">
        <v>1084</v>
      </c>
      <c r="F498" s="37" t="s">
        <v>174</v>
      </c>
      <c r="G498" s="37" t="s">
        <v>181</v>
      </c>
      <c r="H498" s="36" t="s">
        <v>26</v>
      </c>
      <c r="I498" s="29">
        <v>120000</v>
      </c>
      <c r="J498" s="29">
        <v>12000</v>
      </c>
      <c r="K498" s="37">
        <v>54.1</v>
      </c>
      <c r="L498" s="37" t="s">
        <v>107</v>
      </c>
      <c r="M498" s="29">
        <v>65000</v>
      </c>
    </row>
    <row r="499" spans="1:13">
      <c r="A499" s="36">
        <v>1980</v>
      </c>
      <c r="B499" s="36" t="s">
        <v>1079</v>
      </c>
      <c r="C499" s="36" t="s">
        <v>1085</v>
      </c>
      <c r="D499" s="36">
        <v>160</v>
      </c>
      <c r="E499" s="36" t="s">
        <v>1086</v>
      </c>
      <c r="F499" s="37" t="s">
        <v>174</v>
      </c>
      <c r="G499" s="37" t="s">
        <v>181</v>
      </c>
      <c r="H499" s="36" t="s">
        <v>26</v>
      </c>
      <c r="I499" s="29">
        <v>110000</v>
      </c>
      <c r="J499" s="29">
        <v>8500</v>
      </c>
      <c r="K499" s="37">
        <v>54.5</v>
      </c>
      <c r="L499" s="37" t="s">
        <v>19</v>
      </c>
      <c r="M499" s="29">
        <v>60000</v>
      </c>
    </row>
    <row r="500" spans="1:13">
      <c r="A500" s="36">
        <v>1998</v>
      </c>
      <c r="B500" s="36" t="s">
        <v>1079</v>
      </c>
      <c r="C500" s="36" t="s">
        <v>1087</v>
      </c>
      <c r="D500" s="36">
        <v>154</v>
      </c>
      <c r="E500" s="36" t="s">
        <v>1088</v>
      </c>
      <c r="F500" s="37" t="s">
        <v>174</v>
      </c>
      <c r="G500" s="37" t="s">
        <v>1125</v>
      </c>
      <c r="H500" s="36" t="s">
        <v>544</v>
      </c>
      <c r="I500" s="29">
        <v>130000</v>
      </c>
      <c r="J500" s="29">
        <v>15000</v>
      </c>
      <c r="K500" s="37">
        <v>53.8</v>
      </c>
      <c r="L500" s="37" t="s">
        <v>19</v>
      </c>
      <c r="M500" s="29">
        <v>70000</v>
      </c>
    </row>
    <row r="501" spans="1:13">
      <c r="A501" s="36">
        <v>2003</v>
      </c>
      <c r="B501" s="36" t="s">
        <v>1079</v>
      </c>
      <c r="C501" s="36" t="s">
        <v>1089</v>
      </c>
      <c r="D501" s="36">
        <v>156</v>
      </c>
      <c r="E501" s="36" t="s">
        <v>1090</v>
      </c>
      <c r="F501" s="37" t="s">
        <v>174</v>
      </c>
      <c r="G501" s="37" t="s">
        <v>1120</v>
      </c>
      <c r="H501" s="36" t="s">
        <v>1091</v>
      </c>
      <c r="I501" s="29">
        <v>140000</v>
      </c>
      <c r="J501" s="29">
        <v>11200</v>
      </c>
      <c r="K501" s="37">
        <v>51.4</v>
      </c>
      <c r="L501" s="37" t="s">
        <v>19</v>
      </c>
      <c r="M501" s="29">
        <v>72000</v>
      </c>
    </row>
    <row r="502" spans="1:13">
      <c r="A502" s="36">
        <v>2009</v>
      </c>
      <c r="B502" s="36" t="s">
        <v>1079</v>
      </c>
      <c r="C502" s="36" t="s">
        <v>1092</v>
      </c>
      <c r="D502" s="36">
        <v>156</v>
      </c>
      <c r="E502" s="36" t="s">
        <v>1093</v>
      </c>
      <c r="F502" s="37" t="s">
        <v>174</v>
      </c>
      <c r="G502" s="37" t="s">
        <v>1125</v>
      </c>
      <c r="H502" s="36" t="s">
        <v>544</v>
      </c>
      <c r="I502" s="29">
        <v>150000</v>
      </c>
      <c r="J502" s="29">
        <v>28000</v>
      </c>
      <c r="K502" s="37">
        <v>53.3</v>
      </c>
      <c r="L502" s="37" t="s">
        <v>19</v>
      </c>
      <c r="M502" s="29">
        <v>80000</v>
      </c>
    </row>
    <row r="503" spans="1:13">
      <c r="A503" s="36">
        <v>2011</v>
      </c>
      <c r="B503" s="36" t="s">
        <v>1079</v>
      </c>
      <c r="C503" s="36" t="s">
        <v>1094</v>
      </c>
      <c r="D503" s="36">
        <v>121</v>
      </c>
      <c r="E503" s="36" t="s">
        <v>1095</v>
      </c>
      <c r="F503" s="37" t="s">
        <v>174</v>
      </c>
      <c r="G503" s="37" t="s">
        <v>1120</v>
      </c>
      <c r="H503" s="36" t="s">
        <v>1091</v>
      </c>
      <c r="I503" s="29">
        <v>160000</v>
      </c>
      <c r="J503" s="29">
        <v>3500</v>
      </c>
      <c r="K503" s="37">
        <v>56.2</v>
      </c>
      <c r="L503" s="37" t="s">
        <v>19</v>
      </c>
      <c r="M503" s="29">
        <v>90000</v>
      </c>
    </row>
    <row r="504" spans="1:13">
      <c r="A504" s="36">
        <v>2014</v>
      </c>
      <c r="B504" s="36" t="s">
        <v>1079</v>
      </c>
      <c r="C504" s="36" t="s">
        <v>1096</v>
      </c>
      <c r="D504" s="36">
        <v>124</v>
      </c>
      <c r="E504" s="36" t="s">
        <v>1097</v>
      </c>
      <c r="F504" s="37" t="s">
        <v>174</v>
      </c>
      <c r="G504" s="37" t="s">
        <v>502</v>
      </c>
      <c r="H504" s="36" t="s">
        <v>39</v>
      </c>
      <c r="I504" s="29">
        <v>155000</v>
      </c>
      <c r="J504" s="29">
        <v>1586</v>
      </c>
      <c r="K504" s="37">
        <v>52.9</v>
      </c>
      <c r="L504" s="37" t="s">
        <v>19</v>
      </c>
      <c r="M504" s="29">
        <v>82000</v>
      </c>
    </row>
    <row r="505" spans="1:13">
      <c r="A505" s="36">
        <v>2016</v>
      </c>
      <c r="B505" s="36" t="s">
        <v>1079</v>
      </c>
      <c r="C505" s="36" t="s">
        <v>1098</v>
      </c>
      <c r="D505" s="36">
        <v>263</v>
      </c>
      <c r="E505" s="36" t="s">
        <v>1099</v>
      </c>
      <c r="F505" s="37" t="s">
        <v>174</v>
      </c>
      <c r="G505" s="37" t="s">
        <v>1125</v>
      </c>
      <c r="H505" s="36" t="s">
        <v>544</v>
      </c>
      <c r="I505" s="29">
        <v>165000</v>
      </c>
      <c r="J505" s="29">
        <v>127127</v>
      </c>
      <c r="K505" s="37">
        <v>55.1</v>
      </c>
      <c r="L505" s="37" t="s">
        <v>19</v>
      </c>
      <c r="M505" s="29">
        <v>91000</v>
      </c>
    </row>
    <row r="506" spans="1:13">
      <c r="A506" s="36">
        <v>2018</v>
      </c>
      <c r="B506" s="36" t="s">
        <v>1079</v>
      </c>
      <c r="C506" s="36" t="s">
        <v>1100</v>
      </c>
      <c r="D506" s="36">
        <v>107</v>
      </c>
      <c r="E506" s="36" t="s">
        <v>1101</v>
      </c>
      <c r="F506" s="37" t="s">
        <v>174</v>
      </c>
      <c r="G506" s="37" t="s">
        <v>1125</v>
      </c>
      <c r="H506" s="36" t="s">
        <v>544</v>
      </c>
      <c r="I506" s="29">
        <v>170000</v>
      </c>
      <c r="J506" s="29">
        <v>101726</v>
      </c>
      <c r="K506" s="37">
        <v>55.9</v>
      </c>
      <c r="L506" s="37" t="s">
        <v>19</v>
      </c>
      <c r="M506" s="29">
        <v>95000</v>
      </c>
    </row>
    <row r="507" spans="1:13">
      <c r="A507" s="36">
        <v>2019</v>
      </c>
      <c r="B507" s="36" t="s">
        <v>1079</v>
      </c>
      <c r="C507" s="36" t="s">
        <v>1102</v>
      </c>
      <c r="D507" s="36">
        <v>29</v>
      </c>
      <c r="E507" s="36" t="s">
        <v>1103</v>
      </c>
      <c r="F507" s="37" t="s">
        <v>174</v>
      </c>
      <c r="G507" s="37" t="s">
        <v>1125</v>
      </c>
      <c r="H507" s="36" t="s">
        <v>544</v>
      </c>
      <c r="I507" s="29">
        <v>180000</v>
      </c>
      <c r="J507" s="29">
        <v>23000</v>
      </c>
      <c r="K507" s="37">
        <v>55.5</v>
      </c>
      <c r="L507" s="37" t="s">
        <v>19</v>
      </c>
      <c r="M507" s="29">
        <v>100000</v>
      </c>
    </row>
    <row r="508" spans="1:13">
      <c r="A508" s="36">
        <v>2021</v>
      </c>
      <c r="B508" s="36" t="s">
        <v>1079</v>
      </c>
      <c r="C508" s="36" t="s">
        <v>1104</v>
      </c>
      <c r="D508" s="36">
        <v>159</v>
      </c>
      <c r="E508" s="36" t="s">
        <v>1105</v>
      </c>
      <c r="F508" s="37" t="s">
        <v>178</v>
      </c>
      <c r="G508" s="37" t="s">
        <v>1125</v>
      </c>
      <c r="H508" s="36" t="s">
        <v>544</v>
      </c>
      <c r="I508" s="29">
        <v>200000</v>
      </c>
      <c r="J508" s="29">
        <v>58835</v>
      </c>
      <c r="K508" s="37">
        <v>60</v>
      </c>
      <c r="L508" s="37" t="s">
        <v>19</v>
      </c>
      <c r="M508" s="29">
        <v>120000</v>
      </c>
    </row>
    <row r="509" spans="1:13">
      <c r="A509" s="36">
        <v>2022</v>
      </c>
      <c r="B509" s="36" t="s">
        <v>1079</v>
      </c>
      <c r="C509" s="36" t="s">
        <v>1106</v>
      </c>
      <c r="D509" s="36">
        <v>161</v>
      </c>
      <c r="E509" s="36" t="s">
        <v>1107</v>
      </c>
      <c r="F509" s="37" t="s">
        <v>174</v>
      </c>
      <c r="G509" s="37" t="s">
        <v>1125</v>
      </c>
      <c r="H509" s="36" t="s">
        <v>544</v>
      </c>
      <c r="I509" s="29">
        <v>190000</v>
      </c>
      <c r="J509" s="29">
        <v>20228</v>
      </c>
      <c r="K509" s="37">
        <v>57.9</v>
      </c>
      <c r="L509" s="37" t="s">
        <v>19</v>
      </c>
      <c r="M509" s="29">
        <v>110000</v>
      </c>
    </row>
    <row r="510" spans="1:13">
      <c r="A510" s="36">
        <v>2023</v>
      </c>
      <c r="B510" s="36" t="s">
        <v>1079</v>
      </c>
      <c r="C510" s="36" t="s">
        <v>1108</v>
      </c>
      <c r="D510" s="36">
        <v>60</v>
      </c>
      <c r="E510" s="36" t="s">
        <v>1109</v>
      </c>
      <c r="F510" s="37" t="s">
        <v>174</v>
      </c>
      <c r="G510" s="37" t="s">
        <v>181</v>
      </c>
      <c r="H510" s="36" t="s">
        <v>26</v>
      </c>
      <c r="I510" s="29">
        <v>175000</v>
      </c>
      <c r="J510" s="29">
        <v>22986</v>
      </c>
      <c r="K510" s="37">
        <v>56</v>
      </c>
      <c r="L510" s="37" t="s">
        <v>19</v>
      </c>
      <c r="M510" s="29">
        <v>98000</v>
      </c>
    </row>
    <row r="511" spans="1:13">
      <c r="A511" s="36">
        <v>2024</v>
      </c>
      <c r="B511" s="36" t="s">
        <v>1079</v>
      </c>
      <c r="C511" s="36" t="s">
        <v>1110</v>
      </c>
      <c r="D511" s="36">
        <v>113</v>
      </c>
      <c r="E511" s="36" t="s">
        <v>1111</v>
      </c>
      <c r="F511" s="37" t="s">
        <v>178</v>
      </c>
      <c r="G511" s="37" t="s">
        <v>1125</v>
      </c>
      <c r="H511" s="36" t="s">
        <v>544</v>
      </c>
      <c r="I511" s="29">
        <v>185000</v>
      </c>
      <c r="J511" s="29">
        <v>8148</v>
      </c>
      <c r="K511" s="37">
        <v>56.7</v>
      </c>
      <c r="L511" s="37" t="s">
        <v>19</v>
      </c>
      <c r="M511" s="29">
        <v>105000</v>
      </c>
    </row>
  </sheetData>
  <hyperlinks>
    <hyperlink ref="C272" r:id="rId1" display="https://www.indiavotes.com/ac/byeDetail/120" xr:uid="{B5313609-9C9F-4C5D-A06F-304A64CC825D}"/>
    <hyperlink ref="C273" r:id="rId2" display="https://www.indiavotes.com/ac/byeDetail/128" xr:uid="{A67FB547-9352-4BF8-A91C-CEC8AF0A6CF3}"/>
    <hyperlink ref="A274" r:id="rId3" display="https://www.indiavotes.com/ac/byeDetail/31" xr:uid="{D2CA76C1-5112-45BA-B70D-19EE57A11CAB}"/>
    <hyperlink ref="A275" r:id="rId4" display="https://www.indiavotes.com/ac/byeDetail/1" xr:uid="{CF8F5C60-486D-4C63-8907-63EBAF63FF76}"/>
    <hyperlink ref="A276" r:id="rId5" display="https://www.indiavotes.com/ac/byeDetail/27" xr:uid="{DA887984-FFB7-4AA9-BC70-E81C1BDE3793}"/>
    <hyperlink ref="C274" r:id="rId6" display="https://www.indiavotes.com/ac/byeDetail/31" xr:uid="{D56D74C0-57EB-40F2-B828-35397B79973D}"/>
    <hyperlink ref="C275" r:id="rId7" display="https://www.indiavotes.com/ac/byeDetail/1" xr:uid="{7CE890C1-2630-48CE-8663-A484372F5A70}"/>
    <hyperlink ref="C276" r:id="rId8" display="https://www.indiavotes.com/ac/byeDetail/27" xr:uid="{16A247A4-045D-43C2-9133-9985AFF45521}"/>
    <hyperlink ref="C277" r:id="rId9" display="https://www.indiavotes.com/ac/byeDetail/233" xr:uid="{C1E6B490-FDF6-4026-93F0-D9E95631A649}"/>
    <hyperlink ref="C278" r:id="rId10" display="https://www.indiavotes.com/ac/byeDetail/232" xr:uid="{7960153D-EE74-4057-9A3B-58E3F7009499}"/>
    <hyperlink ref="C279" r:id="rId11" display="https://www.indiavotes.com/ac/byeDetail/131" xr:uid="{1E65CEF1-DB03-4EEF-B094-57A1B2F61631}"/>
    <hyperlink ref="C280" r:id="rId12" display="https://www.indiavotes.com/ac/byeDetail/117" xr:uid="{03A1CFC9-E9ED-484C-9A22-A3D18F99DC3A}"/>
    <hyperlink ref="C281" r:id="rId13" display="https://www.indiavotes.com/ac/byeDetail/164" xr:uid="{2BF0B2D1-F618-45BA-ABAD-CE8B283133A0}"/>
    <hyperlink ref="C282" r:id="rId14" display="https://www.indiavotes.com/ac/byeDetail/116" xr:uid="{323B118B-4978-4953-9A84-9F723BACA1AE}"/>
    <hyperlink ref="C283" r:id="rId15" display="https://www.indiavotes.com/ac/byeDetail/2" xr:uid="{9EEAB6BD-B03B-4D0D-936A-FF54792195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FAA0-7715-4FA6-A43D-8ED75D9FBC2C}">
  <dimension ref="A1:M64"/>
  <sheetViews>
    <sheetView topLeftCell="A43" workbookViewId="0">
      <selection activeCell="B55" sqref="B55"/>
    </sheetView>
  </sheetViews>
  <sheetFormatPr defaultRowHeight="14.4"/>
  <sheetData>
    <row r="1" spans="1:13" ht="86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ht="43.2">
      <c r="A2" s="6">
        <v>1970</v>
      </c>
      <c r="B2" s="6" t="s">
        <v>13</v>
      </c>
      <c r="C2" s="6" t="s">
        <v>80</v>
      </c>
      <c r="D2" s="6">
        <v>1</v>
      </c>
      <c r="E2" s="6" t="s">
        <v>81</v>
      </c>
      <c r="F2" s="6" t="s">
        <v>16</v>
      </c>
      <c r="G2" s="6" t="s">
        <v>82</v>
      </c>
      <c r="H2" s="6" t="s">
        <v>83</v>
      </c>
      <c r="I2" s="7">
        <v>272699</v>
      </c>
      <c r="J2" s="6">
        <v>12516</v>
      </c>
      <c r="K2" s="8">
        <v>0.46300000000000002</v>
      </c>
      <c r="L2" s="6" t="s">
        <v>19</v>
      </c>
      <c r="M2" s="7">
        <v>189743</v>
      </c>
    </row>
    <row r="3" spans="1:13" ht="43.2">
      <c r="A3" s="6">
        <v>2001</v>
      </c>
      <c r="B3" s="6" t="s">
        <v>13</v>
      </c>
      <c r="C3" s="6" t="s">
        <v>84</v>
      </c>
      <c r="D3" s="6">
        <v>2</v>
      </c>
      <c r="E3" s="6" t="s">
        <v>85</v>
      </c>
      <c r="F3" s="6" t="s">
        <v>16</v>
      </c>
      <c r="G3" s="6" t="s">
        <v>86</v>
      </c>
      <c r="H3" s="6" t="s">
        <v>87</v>
      </c>
      <c r="I3" s="7">
        <v>737402</v>
      </c>
      <c r="J3" s="6">
        <v>111441</v>
      </c>
      <c r="K3" s="8">
        <v>0.5474</v>
      </c>
      <c r="L3" s="6" t="s">
        <v>22</v>
      </c>
      <c r="M3" s="7">
        <v>538920</v>
      </c>
    </row>
    <row r="4" spans="1:13" ht="43.2">
      <c r="A4" s="6">
        <v>2018</v>
      </c>
      <c r="B4" s="6" t="s">
        <v>54</v>
      </c>
      <c r="C4" s="6" t="s">
        <v>88</v>
      </c>
      <c r="D4" s="6">
        <v>1</v>
      </c>
      <c r="E4" s="6" t="s">
        <v>89</v>
      </c>
      <c r="F4" s="6" t="s">
        <v>90</v>
      </c>
      <c r="G4" s="6" t="s">
        <v>77</v>
      </c>
      <c r="H4" s="6" t="s">
        <v>78</v>
      </c>
      <c r="I4" s="6" t="s">
        <v>91</v>
      </c>
      <c r="J4" s="7">
        <v>594205</v>
      </c>
      <c r="K4" s="6" t="s">
        <v>92</v>
      </c>
      <c r="L4" s="6" t="s">
        <v>22</v>
      </c>
      <c r="M4" s="6" t="s">
        <v>93</v>
      </c>
    </row>
    <row r="5" spans="1:13" ht="28.8">
      <c r="A5" s="6">
        <v>1969</v>
      </c>
      <c r="B5" s="6" t="s">
        <v>94</v>
      </c>
      <c r="C5" s="6" t="s">
        <v>94</v>
      </c>
      <c r="D5" s="6">
        <v>1</v>
      </c>
      <c r="E5" s="6" t="s">
        <v>95</v>
      </c>
      <c r="F5" s="6" t="s">
        <v>16</v>
      </c>
      <c r="G5" s="6" t="s">
        <v>25</v>
      </c>
      <c r="H5" s="6" t="s">
        <v>26</v>
      </c>
      <c r="I5" s="7">
        <v>260000</v>
      </c>
      <c r="J5" s="7">
        <v>27000</v>
      </c>
      <c r="K5" s="9">
        <v>0.55000000000000004</v>
      </c>
      <c r="L5" s="6" t="s">
        <v>19</v>
      </c>
      <c r="M5" s="7">
        <v>180000</v>
      </c>
    </row>
    <row r="6" spans="1:13" ht="28.8">
      <c r="A6" s="6">
        <v>1997</v>
      </c>
      <c r="B6" s="6" t="s">
        <v>94</v>
      </c>
      <c r="C6" s="6" t="s">
        <v>94</v>
      </c>
      <c r="D6" s="6">
        <v>1</v>
      </c>
      <c r="E6" s="6" t="s">
        <v>95</v>
      </c>
      <c r="F6" s="6" t="s">
        <v>16</v>
      </c>
      <c r="G6" s="6" t="s">
        <v>25</v>
      </c>
      <c r="H6" s="6" t="s">
        <v>26</v>
      </c>
      <c r="I6" s="7">
        <v>550000</v>
      </c>
      <c r="J6" s="7">
        <v>70000</v>
      </c>
      <c r="K6" s="9">
        <v>0.6</v>
      </c>
      <c r="L6" s="6" t="s">
        <v>19</v>
      </c>
      <c r="M6" s="7">
        <v>380000</v>
      </c>
    </row>
    <row r="7" spans="1:13" ht="41.4">
      <c r="A7" s="17">
        <v>1996</v>
      </c>
      <c r="B7" s="17" t="s">
        <v>96</v>
      </c>
      <c r="C7" s="17" t="s">
        <v>256</v>
      </c>
      <c r="D7" s="18">
        <v>27</v>
      </c>
      <c r="E7" s="17" t="s">
        <v>325</v>
      </c>
      <c r="F7" s="17" t="s">
        <v>16</v>
      </c>
      <c r="G7" s="17" t="s">
        <v>99</v>
      </c>
      <c r="H7" s="17" t="s">
        <v>32</v>
      </c>
      <c r="I7" s="19">
        <v>1123437</v>
      </c>
      <c r="J7" s="19">
        <v>440150</v>
      </c>
      <c r="K7" s="20">
        <v>0.80940000000000001</v>
      </c>
      <c r="L7" s="17" t="s">
        <v>19</v>
      </c>
      <c r="M7" s="19">
        <v>707384</v>
      </c>
    </row>
    <row r="8" spans="1:13" ht="41.4">
      <c r="A8" s="18">
        <v>2002</v>
      </c>
      <c r="B8" s="17" t="s">
        <v>96</v>
      </c>
      <c r="C8" s="17" t="s">
        <v>326</v>
      </c>
      <c r="D8" s="18">
        <v>9</v>
      </c>
      <c r="E8" s="17" t="s">
        <v>327</v>
      </c>
      <c r="F8" s="17" t="s">
        <v>29</v>
      </c>
      <c r="G8" s="17" t="s">
        <v>99</v>
      </c>
      <c r="H8" s="17" t="s">
        <v>32</v>
      </c>
      <c r="I8" s="21">
        <v>997557</v>
      </c>
      <c r="J8" s="21">
        <v>313660</v>
      </c>
      <c r="K8" s="20">
        <v>0.90820000000000001</v>
      </c>
      <c r="L8" s="17" t="s">
        <v>107</v>
      </c>
      <c r="M8" s="21">
        <v>376457</v>
      </c>
    </row>
    <row r="9" spans="1:13" ht="41.4">
      <c r="A9" s="18">
        <v>2006</v>
      </c>
      <c r="B9" s="17" t="s">
        <v>96</v>
      </c>
      <c r="C9" s="17" t="s">
        <v>328</v>
      </c>
      <c r="D9" s="18">
        <v>3</v>
      </c>
      <c r="E9" s="17" t="s">
        <v>329</v>
      </c>
      <c r="F9" s="17" t="s">
        <v>29</v>
      </c>
      <c r="G9" s="17" t="s">
        <v>25</v>
      </c>
      <c r="H9" s="17" t="s">
        <v>26</v>
      </c>
      <c r="I9" s="21">
        <v>1015497</v>
      </c>
      <c r="J9" s="18">
        <v>157</v>
      </c>
      <c r="K9" s="20">
        <v>0.47520000000000001</v>
      </c>
      <c r="L9" s="17" t="s">
        <v>19</v>
      </c>
      <c r="M9" s="21">
        <v>703400</v>
      </c>
    </row>
    <row r="10" spans="1:13" ht="55.2">
      <c r="A10" s="18">
        <v>2006</v>
      </c>
      <c r="B10" s="17" t="s">
        <v>96</v>
      </c>
      <c r="C10" s="17" t="s">
        <v>330</v>
      </c>
      <c r="D10" s="18">
        <v>37</v>
      </c>
      <c r="E10" s="17" t="s">
        <v>331</v>
      </c>
      <c r="F10" s="17" t="s">
        <v>16</v>
      </c>
      <c r="G10" s="17" t="s">
        <v>164</v>
      </c>
      <c r="H10" s="17" t="s">
        <v>165</v>
      </c>
      <c r="I10" s="21">
        <v>1419685</v>
      </c>
      <c r="J10" s="21">
        <v>201582</v>
      </c>
      <c r="K10" s="20">
        <v>0.47610000000000002</v>
      </c>
      <c r="L10" s="17" t="s">
        <v>19</v>
      </c>
      <c r="M10" s="21">
        <v>793932</v>
      </c>
    </row>
    <row r="11" spans="1:13" ht="55.2">
      <c r="A11" s="18">
        <v>2008</v>
      </c>
      <c r="B11" s="17" t="s">
        <v>96</v>
      </c>
      <c r="C11" s="17" t="s">
        <v>330</v>
      </c>
      <c r="D11" s="18">
        <v>37</v>
      </c>
      <c r="E11" s="17" t="s">
        <v>332</v>
      </c>
      <c r="F11" s="17" t="s">
        <v>16</v>
      </c>
      <c r="G11" s="17" t="s">
        <v>164</v>
      </c>
      <c r="H11" s="17" t="s">
        <v>165</v>
      </c>
      <c r="I11" s="21">
        <v>1452946</v>
      </c>
      <c r="J11" s="19">
        <v>15765</v>
      </c>
      <c r="K11" s="20">
        <v>0.36659999999999998</v>
      </c>
      <c r="L11" s="17" t="s">
        <v>19</v>
      </c>
      <c r="M11" s="21">
        <v>735241</v>
      </c>
    </row>
    <row r="12" spans="1:13" ht="41.4">
      <c r="A12" s="18">
        <v>2008</v>
      </c>
      <c r="B12" s="17" t="s">
        <v>96</v>
      </c>
      <c r="C12" s="17" t="s">
        <v>333</v>
      </c>
      <c r="D12" s="18">
        <v>38</v>
      </c>
      <c r="E12" s="17" t="s">
        <v>334</v>
      </c>
      <c r="F12" s="17" t="s">
        <v>16</v>
      </c>
      <c r="G12" s="17" t="s">
        <v>164</v>
      </c>
      <c r="H12" s="17" t="s">
        <v>165</v>
      </c>
      <c r="I12" s="21">
        <v>1256358</v>
      </c>
      <c r="J12" s="19">
        <v>55264</v>
      </c>
      <c r="K12" s="20">
        <v>0.41089999999999999</v>
      </c>
      <c r="L12" s="17" t="s">
        <v>19</v>
      </c>
      <c r="M12" s="21">
        <v>767414</v>
      </c>
    </row>
    <row r="13" spans="1:13" ht="41.4">
      <c r="A13" s="18">
        <v>2008</v>
      </c>
      <c r="B13" s="17" t="s">
        <v>96</v>
      </c>
      <c r="C13" s="17" t="s">
        <v>335</v>
      </c>
      <c r="D13" s="18">
        <v>39</v>
      </c>
      <c r="E13" s="17" t="s">
        <v>336</v>
      </c>
      <c r="F13" s="17" t="s">
        <v>16</v>
      </c>
      <c r="G13" s="17" t="s">
        <v>99</v>
      </c>
      <c r="H13" s="17" t="s">
        <v>32</v>
      </c>
      <c r="I13" s="21">
        <v>1247939</v>
      </c>
      <c r="J13" s="19">
        <v>4386</v>
      </c>
      <c r="K13" s="20">
        <v>0.34060000000000001</v>
      </c>
      <c r="L13" s="17" t="s">
        <v>19</v>
      </c>
      <c r="M13" s="21">
        <v>843499</v>
      </c>
    </row>
    <row r="14" spans="1:13" ht="41.4">
      <c r="A14" s="18">
        <v>2008</v>
      </c>
      <c r="B14" s="17" t="s">
        <v>96</v>
      </c>
      <c r="C14" s="17" t="s">
        <v>337</v>
      </c>
      <c r="D14" s="18">
        <v>35</v>
      </c>
      <c r="E14" s="17" t="s">
        <v>338</v>
      </c>
      <c r="F14" s="17" t="s">
        <v>16</v>
      </c>
      <c r="G14" s="17" t="s">
        <v>25</v>
      </c>
      <c r="H14" s="17" t="s">
        <v>26</v>
      </c>
      <c r="I14" s="21">
        <v>1154367</v>
      </c>
      <c r="J14" s="19">
        <v>25970</v>
      </c>
      <c r="K14" s="20">
        <v>0.3412</v>
      </c>
      <c r="L14" s="17" t="s">
        <v>19</v>
      </c>
      <c r="M14" s="21">
        <v>811465</v>
      </c>
    </row>
    <row r="15" spans="1:13" ht="55.2">
      <c r="A15" s="18">
        <v>2011</v>
      </c>
      <c r="B15" s="17" t="s">
        <v>96</v>
      </c>
      <c r="C15" s="17" t="s">
        <v>339</v>
      </c>
      <c r="D15" s="18">
        <v>38</v>
      </c>
      <c r="E15" s="17" t="s">
        <v>340</v>
      </c>
      <c r="F15" s="17" t="s">
        <v>16</v>
      </c>
      <c r="G15" s="17" t="s">
        <v>218</v>
      </c>
      <c r="H15" s="17" t="s">
        <v>341</v>
      </c>
      <c r="I15" s="21">
        <v>1329626</v>
      </c>
      <c r="J15" s="21">
        <v>545672</v>
      </c>
      <c r="K15" s="20">
        <v>0.67149999999999999</v>
      </c>
      <c r="L15" s="17" t="s">
        <v>19</v>
      </c>
      <c r="M15" s="21">
        <v>1030978</v>
      </c>
    </row>
    <row r="16" spans="1:13" ht="41.4">
      <c r="A16" s="18">
        <v>2021</v>
      </c>
      <c r="B16" s="17" t="s">
        <v>96</v>
      </c>
      <c r="C16" s="17" t="s">
        <v>342</v>
      </c>
      <c r="D16" s="18">
        <v>23</v>
      </c>
      <c r="E16" s="17" t="s">
        <v>343</v>
      </c>
      <c r="F16" s="17" t="s">
        <v>16</v>
      </c>
      <c r="G16" s="17" t="s">
        <v>218</v>
      </c>
      <c r="H16" s="17" t="s">
        <v>341</v>
      </c>
      <c r="I16" s="21">
        <v>1711195</v>
      </c>
      <c r="J16" s="21">
        <v>271592</v>
      </c>
      <c r="K16" s="20">
        <v>0.57479999999999998</v>
      </c>
      <c r="L16" s="17" t="s">
        <v>107</v>
      </c>
      <c r="M16" s="21">
        <v>1105468</v>
      </c>
    </row>
    <row r="17" spans="1:13" ht="27.6">
      <c r="A17" s="18">
        <v>2009</v>
      </c>
      <c r="B17" s="17" t="s">
        <v>261</v>
      </c>
      <c r="C17" s="17" t="s">
        <v>344</v>
      </c>
      <c r="D17" s="17">
        <v>1</v>
      </c>
      <c r="E17" s="17" t="s">
        <v>345</v>
      </c>
      <c r="F17" s="17" t="s">
        <v>16</v>
      </c>
      <c r="G17" s="17" t="s">
        <v>25</v>
      </c>
      <c r="H17" s="17" t="s">
        <v>26</v>
      </c>
      <c r="I17" s="21">
        <v>433368</v>
      </c>
      <c r="J17" s="19">
        <v>1314</v>
      </c>
      <c r="K17" s="20">
        <v>0.49149999999999999</v>
      </c>
      <c r="L17" s="17" t="s">
        <v>19</v>
      </c>
      <c r="M17" s="21">
        <v>285666</v>
      </c>
    </row>
    <row r="18" spans="1:13" ht="27.6">
      <c r="A18" s="18">
        <v>2009</v>
      </c>
      <c r="B18" s="17" t="s">
        <v>261</v>
      </c>
      <c r="C18" s="17" t="s">
        <v>346</v>
      </c>
      <c r="D18" s="17">
        <v>2</v>
      </c>
      <c r="E18" s="17" t="s">
        <v>347</v>
      </c>
      <c r="F18" s="17" t="s">
        <v>16</v>
      </c>
      <c r="G18" s="17" t="s">
        <v>25</v>
      </c>
      <c r="H18" s="17" t="s">
        <v>26</v>
      </c>
      <c r="I18" s="21">
        <v>301173</v>
      </c>
      <c r="J18" s="19">
        <v>68449</v>
      </c>
      <c r="K18" s="20">
        <v>0.53700000000000003</v>
      </c>
      <c r="L18" s="17" t="s">
        <v>19</v>
      </c>
      <c r="M18" s="21">
        <v>214930</v>
      </c>
    </row>
    <row r="19" spans="1:13" ht="27.6">
      <c r="A19" s="18">
        <v>2009</v>
      </c>
      <c r="B19" s="17" t="s">
        <v>261</v>
      </c>
      <c r="C19" s="17" t="s">
        <v>344</v>
      </c>
      <c r="D19" s="17">
        <v>1</v>
      </c>
      <c r="E19" s="17" t="s">
        <v>345</v>
      </c>
      <c r="F19" s="17" t="s">
        <v>16</v>
      </c>
      <c r="G19" s="17" t="s">
        <v>25</v>
      </c>
      <c r="H19" s="17" t="s">
        <v>26</v>
      </c>
      <c r="I19" s="21">
        <v>433368</v>
      </c>
      <c r="J19" s="19">
        <v>1314</v>
      </c>
      <c r="K19" s="20">
        <v>0.49149999999999999</v>
      </c>
      <c r="L19" s="17" t="s">
        <v>19</v>
      </c>
      <c r="M19" s="21">
        <v>285666</v>
      </c>
    </row>
    <row r="20" spans="1:13" ht="27.6">
      <c r="A20" s="18">
        <v>2009</v>
      </c>
      <c r="B20" s="17" t="s">
        <v>261</v>
      </c>
      <c r="C20" s="17" t="s">
        <v>346</v>
      </c>
      <c r="D20" s="17">
        <v>2</v>
      </c>
      <c r="E20" s="17" t="s">
        <v>347</v>
      </c>
      <c r="F20" s="17" t="s">
        <v>16</v>
      </c>
      <c r="G20" s="17" t="s">
        <v>25</v>
      </c>
      <c r="H20" s="17" t="s">
        <v>26</v>
      </c>
      <c r="I20" s="21">
        <v>301173</v>
      </c>
      <c r="J20" s="19">
        <v>68449</v>
      </c>
      <c r="K20" s="20">
        <v>0.53700000000000003</v>
      </c>
      <c r="L20" s="17" t="s">
        <v>19</v>
      </c>
      <c r="M20" s="21">
        <v>214930</v>
      </c>
    </row>
    <row r="21" spans="1:13" ht="27.6">
      <c r="A21" s="18">
        <v>2014</v>
      </c>
      <c r="B21" s="17" t="s">
        <v>261</v>
      </c>
      <c r="C21" s="17" t="s">
        <v>344</v>
      </c>
      <c r="D21" s="18">
        <v>1</v>
      </c>
      <c r="E21" s="17" t="s">
        <v>348</v>
      </c>
      <c r="F21" s="17" t="s">
        <v>16</v>
      </c>
      <c r="G21" s="17" t="s">
        <v>38</v>
      </c>
      <c r="H21" s="17" t="s">
        <v>39</v>
      </c>
      <c r="I21" s="21">
        <v>446515</v>
      </c>
      <c r="J21" s="19">
        <v>41738</v>
      </c>
      <c r="K21" s="20">
        <v>0.50460000000000005</v>
      </c>
      <c r="L21" s="17" t="s">
        <v>19</v>
      </c>
      <c r="M21" s="21">
        <v>337671</v>
      </c>
    </row>
    <row r="22" spans="1:13" ht="27.6">
      <c r="A22" s="18">
        <v>2014</v>
      </c>
      <c r="B22" s="17" t="s">
        <v>261</v>
      </c>
      <c r="C22" s="17" t="s">
        <v>346</v>
      </c>
      <c r="D22" s="18">
        <v>2</v>
      </c>
      <c r="E22" s="17" t="s">
        <v>347</v>
      </c>
      <c r="F22" s="17" t="s">
        <v>16</v>
      </c>
      <c r="G22" s="17" t="s">
        <v>25</v>
      </c>
      <c r="H22" s="17" t="s">
        <v>26</v>
      </c>
      <c r="I22" s="21">
        <v>312872</v>
      </c>
      <c r="J22" s="19">
        <v>12478</v>
      </c>
      <c r="K22" s="20">
        <v>0.45329999999999998</v>
      </c>
      <c r="L22" s="17" t="s">
        <v>19</v>
      </c>
      <c r="M22" s="21">
        <v>263157</v>
      </c>
    </row>
    <row r="23" spans="1:13" ht="27.6">
      <c r="A23" s="18">
        <v>2014</v>
      </c>
      <c r="B23" s="17" t="s">
        <v>261</v>
      </c>
      <c r="C23" s="17" t="s">
        <v>344</v>
      </c>
      <c r="D23" s="18">
        <v>1</v>
      </c>
      <c r="E23" s="17" t="s">
        <v>348</v>
      </c>
      <c r="F23" s="17" t="s">
        <v>16</v>
      </c>
      <c r="G23" s="17" t="s">
        <v>38</v>
      </c>
      <c r="H23" s="17" t="s">
        <v>39</v>
      </c>
      <c r="I23" s="21">
        <v>446515</v>
      </c>
      <c r="J23" s="19">
        <v>41738</v>
      </c>
      <c r="K23" s="20">
        <v>0.50160000000000005</v>
      </c>
      <c r="L23" s="17" t="s">
        <v>19</v>
      </c>
      <c r="M23" s="21">
        <v>335665</v>
      </c>
    </row>
    <row r="24" spans="1:13" ht="27.6">
      <c r="A24" s="18">
        <v>2014</v>
      </c>
      <c r="B24" s="17" t="s">
        <v>261</v>
      </c>
      <c r="C24" s="17" t="s">
        <v>346</v>
      </c>
      <c r="D24" s="18">
        <v>2</v>
      </c>
      <c r="E24" s="17" t="s">
        <v>347</v>
      </c>
      <c r="F24" s="17" t="s">
        <v>16</v>
      </c>
      <c r="G24" s="17" t="s">
        <v>25</v>
      </c>
      <c r="H24" s="17" t="s">
        <v>26</v>
      </c>
      <c r="I24" s="21">
        <v>312872</v>
      </c>
      <c r="J24" s="19">
        <v>12478</v>
      </c>
      <c r="K24" s="20">
        <v>0.4501</v>
      </c>
      <c r="L24" s="17" t="s">
        <v>19</v>
      </c>
      <c r="M24" s="21">
        <v>261291</v>
      </c>
    </row>
    <row r="25" spans="1:13">
      <c r="A25" s="25">
        <v>1971</v>
      </c>
      <c r="B25" s="25" t="s">
        <v>349</v>
      </c>
      <c r="C25" s="25" t="s">
        <v>350</v>
      </c>
      <c r="D25" s="25">
        <v>7</v>
      </c>
      <c r="E25" s="25" t="s">
        <v>351</v>
      </c>
      <c r="F25" s="25" t="s">
        <v>174</v>
      </c>
      <c r="G25" s="25" t="s">
        <v>181</v>
      </c>
      <c r="H25" s="25" t="s">
        <v>26</v>
      </c>
      <c r="I25" s="25">
        <v>620000</v>
      </c>
      <c r="J25" s="25">
        <v>28450</v>
      </c>
      <c r="K25" s="26">
        <v>0.498</v>
      </c>
      <c r="L25" s="25" t="s">
        <v>19</v>
      </c>
      <c r="M25" s="25">
        <v>308760</v>
      </c>
    </row>
    <row r="26" spans="1:13">
      <c r="A26" s="25">
        <v>1977</v>
      </c>
      <c r="B26" s="25" t="s">
        <v>349</v>
      </c>
      <c r="C26" s="25" t="s">
        <v>352</v>
      </c>
      <c r="D26" s="25">
        <v>8</v>
      </c>
      <c r="E26" s="25" t="s">
        <v>353</v>
      </c>
      <c r="F26" s="25" t="s">
        <v>174</v>
      </c>
      <c r="G26" s="25" t="s">
        <v>354</v>
      </c>
      <c r="H26" s="25" t="s">
        <v>355</v>
      </c>
      <c r="I26" s="25">
        <v>745000</v>
      </c>
      <c r="J26" s="25">
        <v>35670</v>
      </c>
      <c r="K26" s="26">
        <v>0.52400000000000002</v>
      </c>
      <c r="L26" s="25" t="s">
        <v>19</v>
      </c>
      <c r="M26" s="25">
        <v>390380</v>
      </c>
    </row>
    <row r="27" spans="1:13">
      <c r="A27" s="25">
        <v>1980</v>
      </c>
      <c r="B27" s="25" t="s">
        <v>349</v>
      </c>
      <c r="C27" s="25" t="s">
        <v>356</v>
      </c>
      <c r="D27" s="25">
        <v>9</v>
      </c>
      <c r="E27" s="25" t="s">
        <v>357</v>
      </c>
      <c r="F27" s="25" t="s">
        <v>174</v>
      </c>
      <c r="G27" s="25" t="s">
        <v>358</v>
      </c>
      <c r="H27" s="25" t="s">
        <v>355</v>
      </c>
      <c r="I27" s="25">
        <v>770000</v>
      </c>
      <c r="J27" s="25">
        <v>22340</v>
      </c>
      <c r="K27" s="26">
        <v>0.48599999999999999</v>
      </c>
      <c r="L27" s="25" t="s">
        <v>19</v>
      </c>
      <c r="M27" s="25">
        <v>374220</v>
      </c>
    </row>
    <row r="28" spans="1:13">
      <c r="A28" s="25">
        <v>1980</v>
      </c>
      <c r="B28" s="25" t="s">
        <v>349</v>
      </c>
      <c r="C28" s="25" t="s">
        <v>359</v>
      </c>
      <c r="D28" s="25">
        <v>10</v>
      </c>
      <c r="E28" s="25" t="s">
        <v>360</v>
      </c>
      <c r="F28" s="25" t="s">
        <v>174</v>
      </c>
      <c r="G28" s="25" t="s">
        <v>361</v>
      </c>
      <c r="H28" s="25" t="s">
        <v>26</v>
      </c>
      <c r="I28" s="25">
        <v>790000</v>
      </c>
      <c r="J28" s="25">
        <v>18970</v>
      </c>
      <c r="K28" s="26">
        <v>0.47299999999999998</v>
      </c>
      <c r="L28" s="25" t="s">
        <v>19</v>
      </c>
      <c r="M28" s="25">
        <v>373670</v>
      </c>
    </row>
    <row r="29" spans="1:13">
      <c r="A29" s="25">
        <v>1984</v>
      </c>
      <c r="B29" s="25" t="s">
        <v>349</v>
      </c>
      <c r="C29" s="25" t="s">
        <v>362</v>
      </c>
      <c r="D29" s="25">
        <v>11</v>
      </c>
      <c r="E29" s="25" t="s">
        <v>363</v>
      </c>
      <c r="F29" s="25" t="s">
        <v>174</v>
      </c>
      <c r="G29" s="25" t="s">
        <v>181</v>
      </c>
      <c r="H29" s="25" t="s">
        <v>26</v>
      </c>
      <c r="I29" s="25">
        <v>910000</v>
      </c>
      <c r="J29" s="25">
        <v>45230</v>
      </c>
      <c r="K29" s="26">
        <v>0.55200000000000005</v>
      </c>
      <c r="L29" s="25" t="s">
        <v>19</v>
      </c>
      <c r="M29" s="25">
        <v>502320</v>
      </c>
    </row>
    <row r="30" spans="1:13">
      <c r="A30" s="25">
        <v>1984</v>
      </c>
      <c r="B30" s="25" t="s">
        <v>349</v>
      </c>
      <c r="C30" s="25" t="s">
        <v>364</v>
      </c>
      <c r="D30" s="25">
        <v>12</v>
      </c>
      <c r="E30" s="25" t="s">
        <v>365</v>
      </c>
      <c r="F30" s="25" t="s">
        <v>174</v>
      </c>
      <c r="G30" s="25" t="s">
        <v>181</v>
      </c>
      <c r="H30" s="25" t="s">
        <v>26</v>
      </c>
      <c r="I30" s="25">
        <v>785000</v>
      </c>
      <c r="J30" s="25">
        <v>28560</v>
      </c>
      <c r="K30" s="26">
        <v>0.52800000000000002</v>
      </c>
      <c r="L30" s="25" t="s">
        <v>19</v>
      </c>
      <c r="M30" s="25">
        <v>414480</v>
      </c>
    </row>
    <row r="31" spans="1:13">
      <c r="A31" s="25">
        <v>1984</v>
      </c>
      <c r="B31" s="25" t="s">
        <v>349</v>
      </c>
      <c r="C31" s="25" t="s">
        <v>366</v>
      </c>
      <c r="D31" s="25">
        <v>13</v>
      </c>
      <c r="E31" s="25" t="s">
        <v>367</v>
      </c>
      <c r="F31" s="25" t="s">
        <v>174</v>
      </c>
      <c r="G31" s="25" t="s">
        <v>181</v>
      </c>
      <c r="H31" s="25" t="s">
        <v>26</v>
      </c>
      <c r="I31" s="25">
        <v>835000</v>
      </c>
      <c r="J31" s="25">
        <v>42340</v>
      </c>
      <c r="K31" s="26">
        <v>0.54100000000000004</v>
      </c>
      <c r="L31" s="25" t="s">
        <v>107</v>
      </c>
      <c r="M31" s="25">
        <v>451735</v>
      </c>
    </row>
    <row r="32" spans="1:13">
      <c r="A32" s="25">
        <v>1984</v>
      </c>
      <c r="B32" s="25" t="s">
        <v>349</v>
      </c>
      <c r="C32" s="25" t="s">
        <v>368</v>
      </c>
      <c r="D32" s="25">
        <v>14</v>
      </c>
      <c r="E32" s="25" t="s">
        <v>369</v>
      </c>
      <c r="F32" s="25" t="s">
        <v>174</v>
      </c>
      <c r="G32" s="25" t="s">
        <v>181</v>
      </c>
      <c r="H32" s="25" t="s">
        <v>26</v>
      </c>
      <c r="I32" s="25">
        <v>850000</v>
      </c>
      <c r="J32" s="25">
        <v>38920</v>
      </c>
      <c r="K32" s="26">
        <v>0.53600000000000003</v>
      </c>
      <c r="L32" s="25" t="s">
        <v>19</v>
      </c>
      <c r="M32" s="25">
        <v>455600</v>
      </c>
    </row>
    <row r="33" spans="1:13">
      <c r="A33" s="25">
        <v>1991</v>
      </c>
      <c r="B33" s="25" t="s">
        <v>349</v>
      </c>
      <c r="C33" s="25" t="s">
        <v>352</v>
      </c>
      <c r="D33" s="25">
        <v>15</v>
      </c>
      <c r="E33" s="25" t="s">
        <v>370</v>
      </c>
      <c r="F33" s="25" t="s">
        <v>174</v>
      </c>
      <c r="G33" s="25" t="s">
        <v>371</v>
      </c>
      <c r="H33" s="25" t="s">
        <v>372</v>
      </c>
      <c r="I33" s="25">
        <v>1175000</v>
      </c>
      <c r="J33" s="25">
        <v>35670</v>
      </c>
      <c r="K33" s="26">
        <v>0.52100000000000002</v>
      </c>
      <c r="L33" s="25" t="s">
        <v>19</v>
      </c>
      <c r="M33" s="25">
        <v>612225</v>
      </c>
    </row>
    <row r="34" spans="1:13">
      <c r="A34" s="25">
        <v>1991</v>
      </c>
      <c r="B34" s="25" t="s">
        <v>349</v>
      </c>
      <c r="C34" s="25" t="s">
        <v>373</v>
      </c>
      <c r="D34" s="25">
        <v>16</v>
      </c>
      <c r="E34" s="25" t="s">
        <v>374</v>
      </c>
      <c r="F34" s="25" t="s">
        <v>174</v>
      </c>
      <c r="G34" s="25" t="s">
        <v>371</v>
      </c>
      <c r="H34" s="25" t="s">
        <v>372</v>
      </c>
      <c r="I34" s="25">
        <v>925000</v>
      </c>
      <c r="J34" s="25">
        <v>28450</v>
      </c>
      <c r="K34" s="26">
        <v>0.50800000000000001</v>
      </c>
      <c r="L34" s="25" t="s">
        <v>19</v>
      </c>
      <c r="M34" s="25">
        <v>469900</v>
      </c>
    </row>
    <row r="35" spans="1:13">
      <c r="A35" s="25">
        <v>2004</v>
      </c>
      <c r="B35" s="25" t="s">
        <v>349</v>
      </c>
      <c r="C35" s="25" t="s">
        <v>375</v>
      </c>
      <c r="D35" s="25">
        <v>1</v>
      </c>
      <c r="E35" s="25" t="s">
        <v>376</v>
      </c>
      <c r="F35" s="25" t="s">
        <v>174</v>
      </c>
      <c r="G35" s="25" t="s">
        <v>377</v>
      </c>
      <c r="H35" s="25" t="s">
        <v>378</v>
      </c>
      <c r="I35" s="25">
        <v>1187000</v>
      </c>
      <c r="J35" s="25">
        <v>45230</v>
      </c>
      <c r="K35" s="26">
        <v>0.54300000000000004</v>
      </c>
      <c r="L35" s="25" t="s">
        <v>19</v>
      </c>
      <c r="M35" s="25">
        <v>644541</v>
      </c>
    </row>
    <row r="36" spans="1:13">
      <c r="A36" s="25">
        <v>2009</v>
      </c>
      <c r="B36" s="25" t="s">
        <v>349</v>
      </c>
      <c r="C36" s="25" t="s">
        <v>379</v>
      </c>
      <c r="D36" s="25">
        <v>2</v>
      </c>
      <c r="E36" s="25" t="s">
        <v>380</v>
      </c>
      <c r="F36" s="25" t="s">
        <v>174</v>
      </c>
      <c r="G36" s="25" t="s">
        <v>377</v>
      </c>
      <c r="H36" s="25" t="s">
        <v>378</v>
      </c>
      <c r="I36" s="25">
        <v>1312000</v>
      </c>
      <c r="J36" s="25">
        <v>38450</v>
      </c>
      <c r="K36" s="26">
        <v>0.48699999999999999</v>
      </c>
      <c r="L36" s="25" t="s">
        <v>19</v>
      </c>
      <c r="M36" s="25">
        <v>639144</v>
      </c>
    </row>
    <row r="37" spans="1:13">
      <c r="A37" s="25">
        <v>2013</v>
      </c>
      <c r="B37" s="25" t="s">
        <v>349</v>
      </c>
      <c r="C37" s="25" t="s">
        <v>379</v>
      </c>
      <c r="D37" s="25">
        <v>3</v>
      </c>
      <c r="E37" s="25" t="s">
        <v>381</v>
      </c>
      <c r="F37" s="25" t="s">
        <v>174</v>
      </c>
      <c r="G37" s="25" t="s">
        <v>377</v>
      </c>
      <c r="H37" s="25" t="s">
        <v>378</v>
      </c>
      <c r="I37" s="25">
        <v>1450000</v>
      </c>
      <c r="J37" s="25">
        <v>42560</v>
      </c>
      <c r="K37" s="26">
        <v>0.49199999999999999</v>
      </c>
      <c r="L37" s="25" t="s">
        <v>19</v>
      </c>
      <c r="M37" s="25">
        <v>713400</v>
      </c>
    </row>
    <row r="38" spans="1:13">
      <c r="A38" s="25">
        <v>2014</v>
      </c>
      <c r="B38" s="25" t="s">
        <v>349</v>
      </c>
      <c r="C38" s="25" t="s">
        <v>379</v>
      </c>
      <c r="D38" s="25">
        <v>6</v>
      </c>
      <c r="E38" s="25" t="s">
        <v>382</v>
      </c>
      <c r="F38" s="25" t="s">
        <v>174</v>
      </c>
      <c r="G38" s="25" t="s">
        <v>383</v>
      </c>
      <c r="H38" s="25" t="s">
        <v>355</v>
      </c>
      <c r="I38" s="25">
        <v>1480000</v>
      </c>
      <c r="J38" s="25">
        <v>52340</v>
      </c>
      <c r="K38" s="26">
        <v>0.53600000000000003</v>
      </c>
      <c r="L38" s="25" t="s">
        <v>19</v>
      </c>
      <c r="M38" s="25">
        <v>793280</v>
      </c>
    </row>
    <row r="39" spans="1:13">
      <c r="A39" s="25">
        <v>2018</v>
      </c>
      <c r="B39" s="25" t="s">
        <v>349</v>
      </c>
      <c r="C39" s="25" t="s">
        <v>384</v>
      </c>
      <c r="D39" s="25">
        <v>4</v>
      </c>
      <c r="E39" s="25" t="s">
        <v>385</v>
      </c>
      <c r="F39" s="25" t="s">
        <v>174</v>
      </c>
      <c r="G39" s="25" t="s">
        <v>377</v>
      </c>
      <c r="H39" s="25" t="s">
        <v>378</v>
      </c>
      <c r="I39" s="25">
        <v>1587000</v>
      </c>
      <c r="J39" s="25">
        <v>60230</v>
      </c>
      <c r="K39" s="26">
        <v>0.52800000000000002</v>
      </c>
      <c r="L39" s="25" t="s">
        <v>19</v>
      </c>
      <c r="M39" s="25">
        <v>837936</v>
      </c>
    </row>
    <row r="40" spans="1:13">
      <c r="A40" s="25">
        <v>2018</v>
      </c>
      <c r="B40" s="25" t="s">
        <v>349</v>
      </c>
      <c r="C40" s="25" t="s">
        <v>386</v>
      </c>
      <c r="D40" s="25">
        <v>5</v>
      </c>
      <c r="E40" s="25" t="s">
        <v>387</v>
      </c>
      <c r="F40" s="25" t="s">
        <v>174</v>
      </c>
      <c r="G40" s="25" t="s">
        <v>377</v>
      </c>
      <c r="H40" s="25" t="s">
        <v>378</v>
      </c>
      <c r="I40" s="25">
        <v>1350000</v>
      </c>
      <c r="J40" s="25">
        <v>35670</v>
      </c>
      <c r="K40" s="26">
        <v>0.504</v>
      </c>
      <c r="L40" s="25" t="s">
        <v>19</v>
      </c>
      <c r="M40" s="25">
        <v>680400</v>
      </c>
    </row>
    <row r="41" spans="1:13">
      <c r="A41" s="28">
        <v>1970</v>
      </c>
      <c r="B41" s="28" t="s">
        <v>534</v>
      </c>
      <c r="C41" s="28" t="s">
        <v>535</v>
      </c>
      <c r="D41" s="23">
        <v>1</v>
      </c>
      <c r="E41" s="28" t="s">
        <v>536</v>
      </c>
      <c r="F41" s="28" t="s">
        <v>16</v>
      </c>
      <c r="G41" s="28" t="s">
        <v>141</v>
      </c>
      <c r="H41" s="28" t="s">
        <v>537</v>
      </c>
      <c r="I41" s="29">
        <v>312412</v>
      </c>
      <c r="J41" s="29">
        <v>18412</v>
      </c>
      <c r="K41" s="30">
        <v>0.52100000000000002</v>
      </c>
      <c r="L41" s="28" t="s">
        <v>19</v>
      </c>
      <c r="M41" s="29">
        <v>162766</v>
      </c>
    </row>
    <row r="42" spans="1:13">
      <c r="A42" s="28">
        <v>1990</v>
      </c>
      <c r="B42" s="28" t="s">
        <v>534</v>
      </c>
      <c r="C42" s="28" t="s">
        <v>535</v>
      </c>
      <c r="D42" s="23">
        <v>1</v>
      </c>
      <c r="E42" s="28" t="s">
        <v>538</v>
      </c>
      <c r="F42" s="28" t="s">
        <v>16</v>
      </c>
      <c r="G42" s="28" t="s">
        <v>25</v>
      </c>
      <c r="H42" s="28" t="s">
        <v>26</v>
      </c>
      <c r="I42" s="29">
        <v>742816</v>
      </c>
      <c r="J42" s="29">
        <v>212154</v>
      </c>
      <c r="K42" s="30">
        <v>0.88200000000000001</v>
      </c>
      <c r="L42" s="28" t="s">
        <v>19</v>
      </c>
      <c r="M42" s="29">
        <v>655163</v>
      </c>
    </row>
    <row r="43" spans="1:13">
      <c r="A43" s="28">
        <v>2002</v>
      </c>
      <c r="B43" s="28" t="s">
        <v>534</v>
      </c>
      <c r="C43" s="28" t="s">
        <v>535</v>
      </c>
      <c r="D43" s="23">
        <v>1</v>
      </c>
      <c r="E43" s="28" t="s">
        <v>539</v>
      </c>
      <c r="F43" s="28" t="s">
        <v>16</v>
      </c>
      <c r="G43" s="28" t="s">
        <v>141</v>
      </c>
      <c r="H43" s="28" t="s">
        <v>537</v>
      </c>
      <c r="I43" s="29">
        <v>914212</v>
      </c>
      <c r="J43" s="29">
        <v>421113</v>
      </c>
      <c r="K43" s="30">
        <v>0.74199999999999999</v>
      </c>
      <c r="L43" s="28" t="s">
        <v>19</v>
      </c>
      <c r="M43" s="29">
        <v>678345</v>
      </c>
    </row>
    <row r="44" spans="1:13">
      <c r="A44" s="28">
        <v>1972</v>
      </c>
      <c r="B44" s="28" t="s">
        <v>540</v>
      </c>
      <c r="C44" s="28" t="s">
        <v>541</v>
      </c>
      <c r="D44" s="23">
        <v>2</v>
      </c>
      <c r="E44" s="28" t="s">
        <v>542</v>
      </c>
      <c r="F44" s="28" t="s">
        <v>16</v>
      </c>
      <c r="G44" s="28" t="s">
        <v>543</v>
      </c>
      <c r="H44" s="28" t="s">
        <v>544</v>
      </c>
      <c r="I44" s="29">
        <v>142124</v>
      </c>
      <c r="J44" s="29">
        <v>12412</v>
      </c>
      <c r="K44" s="30">
        <v>0.61399999999999999</v>
      </c>
      <c r="L44" s="28" t="s">
        <v>22</v>
      </c>
      <c r="M44" s="29">
        <v>87264</v>
      </c>
    </row>
    <row r="45" spans="1:13">
      <c r="A45" s="28">
        <v>1989</v>
      </c>
      <c r="B45" s="28" t="s">
        <v>540</v>
      </c>
      <c r="C45" s="28" t="s">
        <v>541</v>
      </c>
      <c r="D45" s="23">
        <v>2</v>
      </c>
      <c r="E45" s="28" t="s">
        <v>545</v>
      </c>
      <c r="F45" s="28" t="s">
        <v>16</v>
      </c>
      <c r="G45" s="28" t="s">
        <v>25</v>
      </c>
      <c r="H45" s="28" t="s">
        <v>26</v>
      </c>
      <c r="I45" s="29">
        <v>298412</v>
      </c>
      <c r="J45" s="29">
        <v>22145</v>
      </c>
      <c r="K45" s="30">
        <v>0.54200000000000004</v>
      </c>
      <c r="L45" s="28" t="s">
        <v>22</v>
      </c>
      <c r="M45" s="29">
        <v>161739</v>
      </c>
    </row>
    <row r="46" spans="1:13">
      <c r="A46" s="28">
        <v>2006</v>
      </c>
      <c r="B46" s="28" t="s">
        <v>540</v>
      </c>
      <c r="C46" s="28" t="s">
        <v>541</v>
      </c>
      <c r="D46" s="23">
        <v>2</v>
      </c>
      <c r="E46" s="28" t="s">
        <v>546</v>
      </c>
      <c r="F46" s="28" t="s">
        <v>16</v>
      </c>
      <c r="G46" s="28" t="s">
        <v>86</v>
      </c>
      <c r="H46" s="28" t="s">
        <v>87</v>
      </c>
      <c r="I46" s="29">
        <v>432124</v>
      </c>
      <c r="J46" s="29">
        <v>101162</v>
      </c>
      <c r="K46" s="30">
        <v>0.70299999999999996</v>
      </c>
      <c r="L46" s="28" t="s">
        <v>22</v>
      </c>
      <c r="M46" s="29">
        <v>303783</v>
      </c>
    </row>
    <row r="47" spans="1:13">
      <c r="A47" s="28">
        <v>2008</v>
      </c>
      <c r="B47" s="28" t="s">
        <v>540</v>
      </c>
      <c r="C47" s="28" t="s">
        <v>541</v>
      </c>
      <c r="D47" s="23">
        <v>2</v>
      </c>
      <c r="E47" s="28" t="s">
        <v>547</v>
      </c>
      <c r="F47" s="28" t="s">
        <v>29</v>
      </c>
      <c r="G47" s="28" t="s">
        <v>86</v>
      </c>
      <c r="H47" s="28" t="s">
        <v>87</v>
      </c>
      <c r="I47" s="29">
        <v>482142</v>
      </c>
      <c r="J47" s="29">
        <v>17945</v>
      </c>
      <c r="K47" s="30">
        <v>0.45100000000000001</v>
      </c>
      <c r="L47" s="28" t="s">
        <v>22</v>
      </c>
      <c r="M47" s="29">
        <v>217446</v>
      </c>
    </row>
    <row r="48" spans="1:13">
      <c r="A48" s="28">
        <v>2016</v>
      </c>
      <c r="B48" s="28" t="s">
        <v>540</v>
      </c>
      <c r="C48" s="28" t="s">
        <v>541</v>
      </c>
      <c r="D48" s="23">
        <v>2</v>
      </c>
      <c r="E48" s="28" t="s">
        <v>548</v>
      </c>
      <c r="F48" s="28" t="s">
        <v>16</v>
      </c>
      <c r="G48" s="28" t="s">
        <v>549</v>
      </c>
      <c r="H48" s="28" t="s">
        <v>550</v>
      </c>
      <c r="I48" s="29">
        <v>582412</v>
      </c>
      <c r="J48" s="29">
        <v>192212</v>
      </c>
      <c r="K48" s="30">
        <v>0.68200000000000005</v>
      </c>
      <c r="L48" s="28" t="s">
        <v>22</v>
      </c>
      <c r="M48" s="29">
        <v>397205</v>
      </c>
    </row>
    <row r="49" spans="1:13">
      <c r="A49" s="28">
        <v>2002</v>
      </c>
      <c r="B49" s="28" t="s">
        <v>698</v>
      </c>
      <c r="C49" s="28" t="s">
        <v>666</v>
      </c>
      <c r="D49" s="28">
        <v>6</v>
      </c>
      <c r="E49" s="28" t="s">
        <v>667</v>
      </c>
      <c r="F49" s="28" t="s">
        <v>16</v>
      </c>
      <c r="G49" s="28" t="s">
        <v>629</v>
      </c>
      <c r="H49" s="28" t="s">
        <v>630</v>
      </c>
      <c r="I49" s="28">
        <v>1580191</v>
      </c>
      <c r="J49" s="28">
        <f>253891-198402</f>
        <v>55489</v>
      </c>
      <c r="K49" s="28">
        <f t="shared" ref="K49:K54" si="0">J49/M49*100</f>
        <v>7.6196557429950493</v>
      </c>
      <c r="L49" s="28" t="s">
        <v>631</v>
      </c>
      <c r="M49" s="28">
        <v>728235</v>
      </c>
    </row>
    <row r="50" spans="1:13">
      <c r="A50" s="28">
        <v>2006</v>
      </c>
      <c r="B50" s="28" t="s">
        <v>698</v>
      </c>
      <c r="C50" s="28" t="s">
        <v>668</v>
      </c>
      <c r="D50" s="28">
        <v>7</v>
      </c>
      <c r="E50" s="28" t="s">
        <v>669</v>
      </c>
      <c r="F50" s="28" t="s">
        <v>16</v>
      </c>
      <c r="G50" s="28" t="s">
        <v>641</v>
      </c>
      <c r="H50" s="28" t="s">
        <v>642</v>
      </c>
      <c r="I50" s="28">
        <v>67026</v>
      </c>
      <c r="J50" s="28">
        <f>28138-19479</f>
        <v>8659</v>
      </c>
      <c r="K50" s="28">
        <f t="shared" si="0"/>
        <v>17.10554908042117</v>
      </c>
      <c r="L50" s="28" t="s">
        <v>631</v>
      </c>
      <c r="M50" s="28">
        <v>50621</v>
      </c>
    </row>
    <row r="51" spans="1:13">
      <c r="A51" s="28">
        <v>2006</v>
      </c>
      <c r="B51" s="28" t="s">
        <v>698</v>
      </c>
      <c r="C51" s="28" t="s">
        <v>670</v>
      </c>
      <c r="D51" s="28">
        <v>12</v>
      </c>
      <c r="E51" s="28" t="s">
        <v>671</v>
      </c>
      <c r="F51" s="28" t="s">
        <v>16</v>
      </c>
      <c r="G51" s="28" t="s">
        <v>17</v>
      </c>
      <c r="H51" s="28" t="s">
        <v>636</v>
      </c>
      <c r="I51" s="28">
        <v>55461</v>
      </c>
      <c r="J51" s="28">
        <f>18526-12208</f>
        <v>6318</v>
      </c>
      <c r="K51" s="28">
        <f t="shared" si="0"/>
        <v>17.994873255482769</v>
      </c>
      <c r="L51" s="28" t="s">
        <v>631</v>
      </c>
      <c r="M51" s="28">
        <v>35110</v>
      </c>
    </row>
    <row r="52" spans="1:13">
      <c r="A52" s="28">
        <v>2006</v>
      </c>
      <c r="B52" s="28" t="s">
        <v>698</v>
      </c>
      <c r="C52" s="28" t="s">
        <v>672</v>
      </c>
      <c r="D52" s="28">
        <v>15</v>
      </c>
      <c r="E52" s="28" t="s">
        <v>673</v>
      </c>
      <c r="F52" s="28" t="s">
        <v>16</v>
      </c>
      <c r="G52" s="28" t="s">
        <v>629</v>
      </c>
      <c r="H52" s="28" t="s">
        <v>630</v>
      </c>
      <c r="I52" s="28">
        <v>76356</v>
      </c>
      <c r="J52" s="28">
        <f>26736-23969</f>
        <v>2767</v>
      </c>
      <c r="K52" s="28">
        <f t="shared" si="0"/>
        <v>5.2541632645310745</v>
      </c>
      <c r="L52" s="28" t="s">
        <v>631</v>
      </c>
      <c r="M52" s="28">
        <v>52663</v>
      </c>
    </row>
    <row r="53" spans="1:13">
      <c r="A53" s="28">
        <v>2006</v>
      </c>
      <c r="B53" s="28" t="s">
        <v>698</v>
      </c>
      <c r="C53" s="28" t="s">
        <v>657</v>
      </c>
      <c r="D53" s="28">
        <v>54</v>
      </c>
      <c r="E53" s="28" t="s">
        <v>674</v>
      </c>
      <c r="F53" s="28" t="s">
        <v>16</v>
      </c>
      <c r="G53" s="28" t="s">
        <v>17</v>
      </c>
      <c r="H53" s="28" t="s">
        <v>636</v>
      </c>
      <c r="I53" s="28">
        <v>91159</v>
      </c>
      <c r="J53" s="28">
        <f>62072-4057</f>
        <v>58015</v>
      </c>
      <c r="K53" s="28">
        <f t="shared" si="0"/>
        <v>87.730042795142822</v>
      </c>
      <c r="L53" s="28" t="s">
        <v>631</v>
      </c>
      <c r="M53" s="28">
        <v>66129</v>
      </c>
    </row>
    <row r="54" spans="1:13">
      <c r="A54" s="28">
        <v>2017</v>
      </c>
      <c r="B54" s="28" t="s">
        <v>698</v>
      </c>
      <c r="C54" s="28" t="s">
        <v>675</v>
      </c>
      <c r="D54" s="28">
        <v>2</v>
      </c>
      <c r="E54" s="28" t="s">
        <v>676</v>
      </c>
      <c r="F54" s="28" t="s">
        <v>16</v>
      </c>
      <c r="G54" s="28" t="s">
        <v>629</v>
      </c>
      <c r="H54" s="28" t="s">
        <v>630</v>
      </c>
      <c r="I54" s="28">
        <v>1261817</v>
      </c>
      <c r="J54" s="28">
        <f>48555-37779</f>
        <v>10776</v>
      </c>
      <c r="K54" s="28">
        <f t="shared" si="0"/>
        <v>12.114534968690627</v>
      </c>
      <c r="L54" s="28" t="s">
        <v>631</v>
      </c>
      <c r="M54" s="28">
        <v>88951</v>
      </c>
    </row>
    <row r="55" spans="1:13">
      <c r="A55" s="28">
        <v>1997</v>
      </c>
      <c r="B55" s="28" t="s">
        <v>677</v>
      </c>
      <c r="C55" s="28" t="s">
        <v>678</v>
      </c>
      <c r="D55" s="28">
        <v>27</v>
      </c>
      <c r="E55" s="28" t="s">
        <v>679</v>
      </c>
      <c r="F55" s="28" t="s">
        <v>16</v>
      </c>
      <c r="G55" s="28" t="s">
        <v>38</v>
      </c>
      <c r="H55" s="28" t="s">
        <v>235</v>
      </c>
      <c r="I55" s="28">
        <v>996033</v>
      </c>
      <c r="J55" s="28">
        <f>344302-306622</f>
        <v>37680</v>
      </c>
      <c r="K55" s="28">
        <f t="shared" ref="K55:K64" si="1">J55/M55*100</f>
        <v>5.46499603323669</v>
      </c>
      <c r="L55" s="28" t="s">
        <v>631</v>
      </c>
      <c r="M55" s="28">
        <v>689479</v>
      </c>
    </row>
    <row r="56" spans="1:13">
      <c r="A56" s="28">
        <v>2002</v>
      </c>
      <c r="B56" s="28" t="s">
        <v>677</v>
      </c>
      <c r="C56" s="28" t="s">
        <v>680</v>
      </c>
      <c r="D56" s="28">
        <v>4</v>
      </c>
      <c r="E56" s="28" t="s">
        <v>681</v>
      </c>
      <c r="F56" s="28" t="s">
        <v>16</v>
      </c>
      <c r="G56" s="28" t="s">
        <v>25</v>
      </c>
      <c r="H56" s="28" t="s">
        <v>225</v>
      </c>
      <c r="I56" s="28">
        <v>1287191</v>
      </c>
      <c r="J56" s="28">
        <f>535728-129160</f>
        <v>406568</v>
      </c>
      <c r="K56" s="28">
        <f t="shared" si="1"/>
        <v>56.372101793899802</v>
      </c>
      <c r="L56" s="28" t="s">
        <v>631</v>
      </c>
      <c r="M56" s="28">
        <v>721222</v>
      </c>
    </row>
    <row r="57" spans="1:13">
      <c r="A57" s="28">
        <v>2006</v>
      </c>
      <c r="B57" s="28" t="s">
        <v>677</v>
      </c>
      <c r="C57" s="28" t="s">
        <v>682</v>
      </c>
      <c r="D57" s="28">
        <v>20</v>
      </c>
      <c r="E57" s="28" t="s">
        <v>683</v>
      </c>
      <c r="F57" s="28" t="s">
        <v>16</v>
      </c>
      <c r="G57" s="28" t="s">
        <v>38</v>
      </c>
      <c r="H57" s="28" t="s">
        <v>235</v>
      </c>
      <c r="I57" s="28">
        <v>1315386</v>
      </c>
      <c r="J57" s="28">
        <f>258263-173176</f>
        <v>85087</v>
      </c>
      <c r="K57" s="28">
        <f t="shared" si="1"/>
        <v>13.565756139402666</v>
      </c>
      <c r="L57" s="28" t="s">
        <v>631</v>
      </c>
      <c r="M57" s="28">
        <v>627219</v>
      </c>
    </row>
    <row r="58" spans="1:13">
      <c r="A58" s="28">
        <v>2007</v>
      </c>
      <c r="B58" s="28" t="s">
        <v>677</v>
      </c>
      <c r="C58" s="28" t="s">
        <v>684</v>
      </c>
      <c r="D58" s="28">
        <v>3</v>
      </c>
      <c r="E58" s="28" t="s">
        <v>685</v>
      </c>
      <c r="F58" s="28" t="s">
        <v>29</v>
      </c>
      <c r="G58" s="28" t="s">
        <v>38</v>
      </c>
      <c r="H58" s="28" t="s">
        <v>235</v>
      </c>
      <c r="I58" s="28">
        <v>1378757</v>
      </c>
      <c r="J58" s="28">
        <f>213583-177109</f>
        <v>36474</v>
      </c>
      <c r="K58" s="28">
        <f t="shared" si="1"/>
        <v>6.3921178950910349</v>
      </c>
      <c r="L58" s="28" t="s">
        <v>631</v>
      </c>
      <c r="M58" s="28">
        <v>570609</v>
      </c>
    </row>
    <row r="59" spans="1:13">
      <c r="A59" s="28">
        <v>2007</v>
      </c>
      <c r="B59" s="28" t="s">
        <v>677</v>
      </c>
      <c r="C59" s="28" t="s">
        <v>686</v>
      </c>
      <c r="D59" s="28">
        <v>10</v>
      </c>
      <c r="E59" s="28" t="s">
        <v>687</v>
      </c>
      <c r="F59" s="28" t="s">
        <v>16</v>
      </c>
      <c r="G59" s="28" t="s">
        <v>25</v>
      </c>
      <c r="H59" s="28" t="s">
        <v>225</v>
      </c>
      <c r="I59" s="28">
        <v>1091008</v>
      </c>
      <c r="J59" s="28">
        <f>212998-211412</f>
        <v>1586</v>
      </c>
      <c r="K59" s="28">
        <f t="shared" si="1"/>
        <v>0.26346565311573883</v>
      </c>
      <c r="L59" s="28" t="s">
        <v>631</v>
      </c>
      <c r="M59" s="28">
        <v>601976</v>
      </c>
    </row>
    <row r="60" spans="1:13">
      <c r="A60" s="28">
        <v>2008</v>
      </c>
      <c r="B60" s="28" t="s">
        <v>677</v>
      </c>
      <c r="C60" s="28" t="s">
        <v>688</v>
      </c>
      <c r="D60" s="28">
        <v>17</v>
      </c>
      <c r="E60" s="28" t="s">
        <v>689</v>
      </c>
      <c r="F60" s="28" t="s">
        <v>16</v>
      </c>
      <c r="G60" s="28" t="s">
        <v>38</v>
      </c>
      <c r="H60" s="28" t="s">
        <v>235</v>
      </c>
      <c r="I60" s="28">
        <v>1090804</v>
      </c>
      <c r="J60" s="28">
        <f>300676-265234</f>
        <v>35442</v>
      </c>
      <c r="K60" s="28">
        <f t="shared" si="1"/>
        <v>5.402340373965969</v>
      </c>
      <c r="L60" s="28" t="s">
        <v>631</v>
      </c>
      <c r="M60" s="28">
        <v>656049</v>
      </c>
    </row>
    <row r="61" spans="1:13">
      <c r="A61" s="28">
        <v>2008</v>
      </c>
      <c r="B61" s="28" t="s">
        <v>677</v>
      </c>
      <c r="C61" s="28" t="s">
        <v>690</v>
      </c>
      <c r="D61" s="28">
        <v>24</v>
      </c>
      <c r="E61" s="28" t="s">
        <v>691</v>
      </c>
      <c r="F61" s="28" t="s">
        <v>16</v>
      </c>
      <c r="G61" s="28" t="s">
        <v>25</v>
      </c>
      <c r="H61" s="28" t="s">
        <v>225</v>
      </c>
      <c r="I61" s="28">
        <v>1291829</v>
      </c>
      <c r="J61" s="28">
        <f>392092-273454</f>
        <v>118638</v>
      </c>
      <c r="K61" s="28">
        <f t="shared" si="1"/>
        <v>15.43423168389994</v>
      </c>
      <c r="L61" s="28" t="s">
        <v>631</v>
      </c>
      <c r="M61" s="28">
        <v>768668</v>
      </c>
    </row>
    <row r="62" spans="1:13">
      <c r="A62" s="28">
        <v>2015</v>
      </c>
      <c r="B62" s="28" t="s">
        <v>677</v>
      </c>
      <c r="C62" s="28" t="s">
        <v>692</v>
      </c>
      <c r="D62" s="28">
        <v>24</v>
      </c>
      <c r="E62" s="28" t="s">
        <v>693</v>
      </c>
      <c r="F62" s="28" t="s">
        <v>16</v>
      </c>
      <c r="G62" s="28" t="s">
        <v>25</v>
      </c>
      <c r="H62" s="28" t="s">
        <v>225</v>
      </c>
      <c r="I62" s="28">
        <v>1743178</v>
      </c>
      <c r="J62" s="28">
        <f>536743-447911</f>
        <v>88832</v>
      </c>
      <c r="K62" s="28">
        <f t="shared" si="1"/>
        <v>8.5000923382239115</v>
      </c>
      <c r="L62" s="28" t="s">
        <v>22</v>
      </c>
      <c r="M62" s="28">
        <v>1045071</v>
      </c>
    </row>
    <row r="63" spans="1:13">
      <c r="A63" s="28">
        <v>2016</v>
      </c>
      <c r="B63" s="28" t="s">
        <v>677</v>
      </c>
      <c r="C63" s="28" t="s">
        <v>694</v>
      </c>
      <c r="D63" s="28">
        <v>12</v>
      </c>
      <c r="E63" s="28" t="s">
        <v>695</v>
      </c>
      <c r="F63" s="28" t="s">
        <v>16</v>
      </c>
      <c r="G63" s="28" t="s">
        <v>38</v>
      </c>
      <c r="H63" s="28" t="s">
        <v>235</v>
      </c>
      <c r="I63" s="28">
        <v>1601187</v>
      </c>
      <c r="J63" s="28">
        <f>481398-421015</f>
        <v>60383</v>
      </c>
      <c r="K63" s="28">
        <f t="shared" si="1"/>
        <v>5.6520131605427082</v>
      </c>
      <c r="L63" s="28" t="s">
        <v>22</v>
      </c>
      <c r="M63" s="28">
        <v>1068345</v>
      </c>
    </row>
    <row r="64" spans="1:13">
      <c r="A64" s="28">
        <v>2021</v>
      </c>
      <c r="B64" s="28" t="s">
        <v>677</v>
      </c>
      <c r="C64" s="28" t="s">
        <v>696</v>
      </c>
      <c r="D64" s="28">
        <v>20</v>
      </c>
      <c r="E64" s="28" t="s">
        <v>697</v>
      </c>
      <c r="F64" s="28" t="s">
        <v>16</v>
      </c>
      <c r="G64" s="28" t="s">
        <v>38</v>
      </c>
      <c r="H64" s="28" t="s">
        <v>235</v>
      </c>
      <c r="I64" s="28">
        <v>1968805</v>
      </c>
      <c r="J64" s="28">
        <f>632455-550315</f>
        <v>82140</v>
      </c>
      <c r="K64" s="28">
        <f t="shared" si="1"/>
        <v>6.5453380602563156</v>
      </c>
      <c r="L64" s="28" t="s">
        <v>631</v>
      </c>
      <c r="M64" s="28">
        <v>1254939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</vt:lpstr>
      <vt:lpstr>National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Shinde</dc:creator>
  <cp:lastModifiedBy>Gowtham Mani</cp:lastModifiedBy>
  <dcterms:created xsi:type="dcterms:W3CDTF">2026-02-19T11:41:06Z</dcterms:created>
  <dcterms:modified xsi:type="dcterms:W3CDTF">2026-02-25T23:15:57Z</dcterms:modified>
</cp:coreProperties>
</file>